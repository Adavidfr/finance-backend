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CAE13AA-664C-4570-898E-40C42B41C2E3}" xr6:coauthVersionLast="45" xr6:coauthVersionMax="45" xr10:uidLastSave="{00000000-0000-0000-0000-000000000000}"/>
  <bookViews>
    <workbookView xWindow="-108" yWindow="-108" windowWidth="23256" windowHeight="12576" firstSheet="5" activeTab="10" xr2:uid="{00000000-000D-0000-FFFF-FFFF00000000}"/>
  </bookViews>
  <sheets>
    <sheet name="Marzo" sheetId="1" r:id="rId1"/>
    <sheet name="Abril" sheetId="2" r:id="rId2"/>
    <sheet name="Mayo" sheetId="3" r:id="rId3"/>
    <sheet name="Mayo 2022" sheetId="4" r:id="rId4"/>
    <sheet name="Junio 2022" sheetId="5" r:id="rId5"/>
    <sheet name="Julio 2022" sheetId="6" r:id="rId6"/>
    <sheet name="Agosto 2022" sheetId="7" r:id="rId7"/>
    <sheet name="Septiembre 2022" sheetId="8" r:id="rId8"/>
    <sheet name="Octubre 2022" sheetId="9" r:id="rId9"/>
    <sheet name="Noviembre 2022" sheetId="10" r:id="rId10"/>
    <sheet name="Diciembre 202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11" l="1"/>
  <c r="K9" i="11"/>
  <c r="K10" i="11"/>
  <c r="K11" i="11"/>
  <c r="K12" i="11"/>
  <c r="K16" i="11"/>
  <c r="K17" i="11"/>
  <c r="K18" i="11"/>
  <c r="K19" i="11"/>
  <c r="K20" i="11"/>
  <c r="J5" i="11"/>
  <c r="J9" i="11"/>
  <c r="J10" i="11"/>
  <c r="J11" i="11"/>
  <c r="J12" i="11"/>
  <c r="J16" i="11"/>
  <c r="J17" i="11"/>
  <c r="J18" i="11"/>
  <c r="J19" i="11"/>
  <c r="J20" i="11"/>
  <c r="D4" i="11"/>
  <c r="G4" i="11" s="1"/>
  <c r="D5" i="11"/>
  <c r="H5" i="11" s="1"/>
  <c r="D6" i="11"/>
  <c r="H6" i="11" s="1"/>
  <c r="D7" i="11"/>
  <c r="H7" i="11" s="1"/>
  <c r="G7" i="11"/>
  <c r="I7" i="11" s="1"/>
  <c r="D8" i="11"/>
  <c r="H8" i="11" s="1"/>
  <c r="G8" i="11"/>
  <c r="I8" i="11" s="1"/>
  <c r="D9" i="11"/>
  <c r="H9" i="11" s="1"/>
  <c r="D10" i="11"/>
  <c r="G10" i="11" s="1"/>
  <c r="D11" i="11"/>
  <c r="G11" i="11" s="1"/>
  <c r="D12" i="11"/>
  <c r="H12" i="11" s="1"/>
  <c r="D13" i="11"/>
  <c r="G13" i="11" s="1"/>
  <c r="D14" i="11"/>
  <c r="H14" i="11" s="1"/>
  <c r="G14" i="11"/>
  <c r="D15" i="11"/>
  <c r="G15" i="11" s="1"/>
  <c r="H15" i="11"/>
  <c r="D16" i="11"/>
  <c r="H16" i="11" s="1"/>
  <c r="G16" i="11"/>
  <c r="I16" i="11" s="1"/>
  <c r="D17" i="11"/>
  <c r="H17" i="11" s="1"/>
  <c r="D18" i="11"/>
  <c r="H18" i="11" s="1"/>
  <c r="D19" i="11"/>
  <c r="G19" i="11" s="1"/>
  <c r="D20" i="11"/>
  <c r="H20" i="11" s="1"/>
  <c r="D21" i="11"/>
  <c r="G21" i="11" s="1"/>
  <c r="D22" i="11"/>
  <c r="H22" i="11" s="1"/>
  <c r="D23" i="11"/>
  <c r="H23" i="11" s="1"/>
  <c r="G23" i="11"/>
  <c r="D24" i="11"/>
  <c r="G24" i="11" s="1"/>
  <c r="H24" i="11"/>
  <c r="D25" i="11"/>
  <c r="G25" i="11"/>
  <c r="H25" i="11"/>
  <c r="I25" i="11"/>
  <c r="D26" i="11"/>
  <c r="H26" i="11" s="1"/>
  <c r="G26" i="11"/>
  <c r="D27" i="11"/>
  <c r="G27" i="11" s="1"/>
  <c r="D28" i="11"/>
  <c r="H28" i="11" s="1"/>
  <c r="D29" i="11"/>
  <c r="G29" i="11"/>
  <c r="H29" i="11"/>
  <c r="I29" i="11"/>
  <c r="D30" i="11"/>
  <c r="H30" i="11" s="1"/>
  <c r="D31" i="11"/>
  <c r="H31" i="11" s="1"/>
  <c r="D32" i="11"/>
  <c r="H32" i="11" s="1"/>
  <c r="G32" i="11"/>
  <c r="D33" i="11"/>
  <c r="G33" i="11" s="1"/>
  <c r="H33" i="11"/>
  <c r="O3" i="11"/>
  <c r="F3" i="11"/>
  <c r="E3" i="11"/>
  <c r="K32" i="10"/>
  <c r="K33" i="10"/>
  <c r="J32" i="10"/>
  <c r="J33" i="10"/>
  <c r="G20" i="11" l="1"/>
  <c r="I20" i="11" s="1"/>
  <c r="H19" i="11"/>
  <c r="I19" i="11" s="1"/>
  <c r="G18" i="11"/>
  <c r="G17" i="11"/>
  <c r="H11" i="11"/>
  <c r="I11" i="11" s="1"/>
  <c r="I24" i="11"/>
  <c r="I32" i="11"/>
  <c r="I23" i="11"/>
  <c r="H13" i="11"/>
  <c r="I13" i="11" s="1"/>
  <c r="H10" i="11"/>
  <c r="I10" i="11" s="1"/>
  <c r="I14" i="11"/>
  <c r="I26" i="11"/>
  <c r="G31" i="11"/>
  <c r="I31" i="11" s="1"/>
  <c r="G28" i="11"/>
  <c r="G22" i="11"/>
  <c r="I22" i="11" s="1"/>
  <c r="G6" i="11"/>
  <c r="I6" i="11" s="1"/>
  <c r="I17" i="11"/>
  <c r="I30" i="11"/>
  <c r="D3" i="11"/>
  <c r="G30" i="11"/>
  <c r="H27" i="11"/>
  <c r="H21" i="11"/>
  <c r="I21" i="11" s="1"/>
  <c r="G12" i="11"/>
  <c r="I12" i="11" s="1"/>
  <c r="G9" i="11"/>
  <c r="I9" i="11" s="1"/>
  <c r="G5" i="11"/>
  <c r="I5" i="11" s="1"/>
  <c r="I33" i="11"/>
  <c r="K4" i="11"/>
  <c r="I15" i="11"/>
  <c r="I27" i="11"/>
  <c r="H4" i="11"/>
  <c r="I18" i="11"/>
  <c r="F3" i="9"/>
  <c r="K4" i="10"/>
  <c r="J4" i="10"/>
  <c r="K9" i="10"/>
  <c r="K11" i="10"/>
  <c r="K12" i="10"/>
  <c r="K13" i="10"/>
  <c r="K14" i="10"/>
  <c r="K15" i="10"/>
  <c r="K18" i="10"/>
  <c r="K19" i="10"/>
  <c r="K20" i="10"/>
  <c r="K21" i="10"/>
  <c r="K23" i="10"/>
  <c r="K25" i="10"/>
  <c r="K26" i="10"/>
  <c r="K27" i="10"/>
  <c r="K28" i="10"/>
  <c r="K29" i="10"/>
  <c r="J9" i="10"/>
  <c r="J11" i="10"/>
  <c r="J12" i="10"/>
  <c r="J13" i="10"/>
  <c r="J14" i="10"/>
  <c r="J15" i="10"/>
  <c r="J18" i="10"/>
  <c r="J19" i="10"/>
  <c r="J20" i="10"/>
  <c r="J21" i="10"/>
  <c r="J23" i="10"/>
  <c r="J25" i="10"/>
  <c r="J26" i="10"/>
  <c r="J27" i="10"/>
  <c r="J28" i="10"/>
  <c r="J29" i="10"/>
  <c r="D33" i="10"/>
  <c r="H33" i="10" s="1"/>
  <c r="D32" i="10"/>
  <c r="H32" i="10" s="1"/>
  <c r="D31" i="10"/>
  <c r="H31" i="10" s="1"/>
  <c r="G30" i="10"/>
  <c r="D30" i="10"/>
  <c r="H30" i="10" s="1"/>
  <c r="D29" i="10"/>
  <c r="H29" i="10" s="1"/>
  <c r="D28" i="10"/>
  <c r="H28" i="10" s="1"/>
  <c r="D27" i="10"/>
  <c r="H27" i="10" s="1"/>
  <c r="D26" i="10"/>
  <c r="H26" i="10" s="1"/>
  <c r="D25" i="10"/>
  <c r="H25" i="10" s="1"/>
  <c r="D24" i="10"/>
  <c r="H24" i="10" s="1"/>
  <c r="D23" i="10"/>
  <c r="H23" i="10" s="1"/>
  <c r="D22" i="10"/>
  <c r="H22" i="10" s="1"/>
  <c r="D21" i="10"/>
  <c r="H21" i="10" s="1"/>
  <c r="D20" i="10"/>
  <c r="H20" i="10" s="1"/>
  <c r="D19" i="10"/>
  <c r="H19" i="10" s="1"/>
  <c r="D18" i="10"/>
  <c r="H18" i="10" s="1"/>
  <c r="D17" i="10"/>
  <c r="H17" i="10" s="1"/>
  <c r="G16" i="10"/>
  <c r="D16" i="10"/>
  <c r="H16" i="10" s="1"/>
  <c r="D15" i="10"/>
  <c r="H15" i="10" s="1"/>
  <c r="D14" i="10"/>
  <c r="H14" i="10" s="1"/>
  <c r="D13" i="10"/>
  <c r="G13" i="10" s="1"/>
  <c r="D12" i="10"/>
  <c r="H12" i="10" s="1"/>
  <c r="D11" i="10"/>
  <c r="G11" i="10" s="1"/>
  <c r="H10" i="10"/>
  <c r="D10" i="10"/>
  <c r="G10" i="10" s="1"/>
  <c r="D9" i="10"/>
  <c r="H9" i="10" s="1"/>
  <c r="D8" i="10"/>
  <c r="H8" i="10" s="1"/>
  <c r="D7" i="10"/>
  <c r="H7" i="10" s="1"/>
  <c r="D6" i="10"/>
  <c r="H6" i="10" s="1"/>
  <c r="D5" i="10"/>
  <c r="D4" i="10"/>
  <c r="H4" i="10" s="1"/>
  <c r="O3" i="10"/>
  <c r="F3" i="10"/>
  <c r="E3" i="10"/>
  <c r="G3" i="11" l="1"/>
  <c r="I28" i="11"/>
  <c r="H3" i="11"/>
  <c r="I4" i="11"/>
  <c r="J4" i="11" s="1"/>
  <c r="K3" i="11"/>
  <c r="G26" i="10"/>
  <c r="G4" i="10"/>
  <c r="G7" i="10"/>
  <c r="G15" i="10"/>
  <c r="G18" i="10"/>
  <c r="I18" i="10" s="1"/>
  <c r="G22" i="10"/>
  <c r="I22" i="10" s="1"/>
  <c r="I30" i="10"/>
  <c r="H11" i="10"/>
  <c r="I11" i="10" s="1"/>
  <c r="I26" i="10"/>
  <c r="I4" i="10"/>
  <c r="G20" i="10"/>
  <c r="I20" i="10" s="1"/>
  <c r="G24" i="10"/>
  <c r="I24" i="10" s="1"/>
  <c r="G28" i="10"/>
  <c r="I28" i="10" s="1"/>
  <c r="G32" i="10"/>
  <c r="I32" i="10" s="1"/>
  <c r="D3" i="10"/>
  <c r="H13" i="10"/>
  <c r="I13" i="10" s="1"/>
  <c r="I16" i="10"/>
  <c r="G6" i="10"/>
  <c r="I6" i="10" s="1"/>
  <c r="G9" i="10"/>
  <c r="I10" i="10"/>
  <c r="G12" i="10"/>
  <c r="I12" i="10" s="1"/>
  <c r="G14" i="10"/>
  <c r="I15" i="10"/>
  <c r="G5" i="10"/>
  <c r="G3" i="10" s="1"/>
  <c r="G8" i="10"/>
  <c r="G17" i="10"/>
  <c r="I17" i="10" s="1"/>
  <c r="G19" i="10"/>
  <c r="I19" i="10" s="1"/>
  <c r="G21" i="10"/>
  <c r="I21" i="10" s="1"/>
  <c r="G23" i="10"/>
  <c r="I23" i="10" s="1"/>
  <c r="G25" i="10"/>
  <c r="I25" i="10" s="1"/>
  <c r="G27" i="10"/>
  <c r="I27" i="10" s="1"/>
  <c r="G29" i="10"/>
  <c r="I29" i="10" s="1"/>
  <c r="G31" i="10"/>
  <c r="I31" i="10" s="1"/>
  <c r="G33" i="10"/>
  <c r="I33" i="10" s="1"/>
  <c r="H5" i="10"/>
  <c r="J3" i="9"/>
  <c r="I3" i="11" l="1"/>
  <c r="J3" i="11"/>
  <c r="H3" i="10"/>
  <c r="I7" i="10"/>
  <c r="I14" i="10"/>
  <c r="I9" i="10"/>
  <c r="I8" i="10"/>
  <c r="I5" i="10"/>
  <c r="K5" i="9"/>
  <c r="K7" i="9"/>
  <c r="K8" i="9"/>
  <c r="K9" i="9"/>
  <c r="K10" i="9"/>
  <c r="K14" i="9"/>
  <c r="K15" i="9"/>
  <c r="J5" i="9"/>
  <c r="J7" i="9"/>
  <c r="J8" i="9"/>
  <c r="J9" i="9"/>
  <c r="J10" i="9"/>
  <c r="J14" i="9"/>
  <c r="J15" i="9"/>
  <c r="D33" i="9"/>
  <c r="H33" i="9" s="1"/>
  <c r="D32" i="9"/>
  <c r="H32" i="9" s="1"/>
  <c r="D31" i="9"/>
  <c r="G31" i="9" s="1"/>
  <c r="D30" i="9"/>
  <c r="G30" i="9" s="1"/>
  <c r="D29" i="9"/>
  <c r="H29" i="9" s="1"/>
  <c r="D28" i="9"/>
  <c r="G28" i="9" s="1"/>
  <c r="D27" i="9"/>
  <c r="H27" i="9" s="1"/>
  <c r="D26" i="9"/>
  <c r="G26" i="9" s="1"/>
  <c r="D25" i="9"/>
  <c r="H25" i="9" s="1"/>
  <c r="D24" i="9"/>
  <c r="G24" i="9" s="1"/>
  <c r="D23" i="9"/>
  <c r="G23" i="9" s="1"/>
  <c r="D22" i="9"/>
  <c r="H22" i="9" s="1"/>
  <c r="D21" i="9"/>
  <c r="G21" i="9" s="1"/>
  <c r="D20" i="9"/>
  <c r="G20" i="9" s="1"/>
  <c r="D19" i="9"/>
  <c r="H19" i="9" s="1"/>
  <c r="D18" i="9"/>
  <c r="G18" i="9" s="1"/>
  <c r="D17" i="9"/>
  <c r="G17" i="9" s="1"/>
  <c r="D16" i="9"/>
  <c r="G16" i="9" s="1"/>
  <c r="D15" i="9"/>
  <c r="G15" i="9" s="1"/>
  <c r="D14" i="9"/>
  <c r="G14" i="9" s="1"/>
  <c r="D13" i="9"/>
  <c r="G13" i="9" s="1"/>
  <c r="D12" i="9"/>
  <c r="G12" i="9" s="1"/>
  <c r="D11" i="9"/>
  <c r="G11" i="9" s="1"/>
  <c r="D10" i="9"/>
  <c r="H10" i="9" s="1"/>
  <c r="D9" i="9"/>
  <c r="G9" i="9" s="1"/>
  <c r="D8" i="9"/>
  <c r="H8" i="9" s="1"/>
  <c r="D7" i="9"/>
  <c r="G7" i="9" s="1"/>
  <c r="D6" i="9"/>
  <c r="H6" i="9" s="1"/>
  <c r="D5" i="9"/>
  <c r="G5" i="9" s="1"/>
  <c r="D4" i="9"/>
  <c r="O3" i="9"/>
  <c r="E3" i="9"/>
  <c r="K32" i="8"/>
  <c r="K33" i="8"/>
  <c r="K34" i="8"/>
  <c r="J32" i="8"/>
  <c r="J33" i="8"/>
  <c r="J34" i="8"/>
  <c r="K3" i="10" l="1"/>
  <c r="J3" i="10"/>
  <c r="I3" i="10"/>
  <c r="D3" i="9"/>
  <c r="H20" i="9"/>
  <c r="H15" i="9"/>
  <c r="H5" i="9"/>
  <c r="I5" i="9" s="1"/>
  <c r="H16" i="9"/>
  <c r="I16" i="9" s="1"/>
  <c r="J16" i="9" s="1"/>
  <c r="H13" i="9"/>
  <c r="I13" i="9" s="1"/>
  <c r="H11" i="9"/>
  <c r="I11" i="9" s="1"/>
  <c r="H18" i="9"/>
  <c r="I18" i="9" s="1"/>
  <c r="H24" i="9"/>
  <c r="I24" i="9" s="1"/>
  <c r="H31" i="9"/>
  <c r="I31" i="9" s="1"/>
  <c r="H14" i="9"/>
  <c r="I14" i="9" s="1"/>
  <c r="I15" i="9"/>
  <c r="K16" i="9"/>
  <c r="I20" i="9"/>
  <c r="G4" i="9"/>
  <c r="H4" i="9"/>
  <c r="H7" i="9"/>
  <c r="I7" i="9" s="1"/>
  <c r="H9" i="9"/>
  <c r="I9" i="9" s="1"/>
  <c r="H12" i="9"/>
  <c r="I12" i="9" s="1"/>
  <c r="H17" i="9"/>
  <c r="I17" i="9" s="1"/>
  <c r="H21" i="9"/>
  <c r="I21" i="9" s="1"/>
  <c r="H23" i="9"/>
  <c r="I23" i="9" s="1"/>
  <c r="H26" i="9"/>
  <c r="I26" i="9" s="1"/>
  <c r="H28" i="9"/>
  <c r="I28" i="9" s="1"/>
  <c r="H30" i="9"/>
  <c r="I30" i="9" s="1"/>
  <c r="G33" i="9"/>
  <c r="G6" i="9"/>
  <c r="I6" i="9" s="1"/>
  <c r="G8" i="9"/>
  <c r="I8" i="9" s="1"/>
  <c r="G10" i="9"/>
  <c r="G19" i="9"/>
  <c r="G22" i="9"/>
  <c r="I22" i="9" s="1"/>
  <c r="G25" i="9"/>
  <c r="I25" i="9" s="1"/>
  <c r="G27" i="9"/>
  <c r="I27" i="9" s="1"/>
  <c r="G29" i="9"/>
  <c r="I29" i="9" s="1"/>
  <c r="G32" i="9"/>
  <c r="J5" i="8"/>
  <c r="J6" i="8"/>
  <c r="J12" i="8"/>
  <c r="J13" i="8"/>
  <c r="J17" i="8"/>
  <c r="J18" i="8"/>
  <c r="J19" i="8"/>
  <c r="J20" i="8"/>
  <c r="J21" i="8"/>
  <c r="J24" i="8"/>
  <c r="J25" i="8"/>
  <c r="K5" i="8"/>
  <c r="K6" i="8"/>
  <c r="K11" i="8"/>
  <c r="K12" i="8"/>
  <c r="K13" i="8"/>
  <c r="K17" i="8"/>
  <c r="K18" i="8"/>
  <c r="K19" i="8"/>
  <c r="K20" i="8"/>
  <c r="K21" i="8"/>
  <c r="K24" i="8"/>
  <c r="K25" i="8"/>
  <c r="D34" i="8"/>
  <c r="H34" i="8" s="1"/>
  <c r="D33" i="8"/>
  <c r="H33" i="8" s="1"/>
  <c r="D32" i="8"/>
  <c r="H32" i="8" s="1"/>
  <c r="D31" i="8"/>
  <c r="H31" i="8" s="1"/>
  <c r="D30" i="8"/>
  <c r="H30" i="8" s="1"/>
  <c r="D29" i="8"/>
  <c r="G29" i="8" s="1"/>
  <c r="D28" i="8"/>
  <c r="H28" i="8" s="1"/>
  <c r="D27" i="8"/>
  <c r="H27" i="8" s="1"/>
  <c r="D26" i="8"/>
  <c r="H26" i="8" s="1"/>
  <c r="D25" i="8"/>
  <c r="G25" i="8" s="1"/>
  <c r="D24" i="8"/>
  <c r="G24" i="8" s="1"/>
  <c r="D23" i="8"/>
  <c r="H23" i="8" s="1"/>
  <c r="H22" i="8"/>
  <c r="D22" i="8"/>
  <c r="G22" i="8" s="1"/>
  <c r="D21" i="8"/>
  <c r="H21" i="8" s="1"/>
  <c r="D20" i="8"/>
  <c r="H20" i="8" s="1"/>
  <c r="D19" i="8"/>
  <c r="H19" i="8" s="1"/>
  <c r="D18" i="8"/>
  <c r="G18" i="8" s="1"/>
  <c r="D17" i="8"/>
  <c r="H17" i="8" s="1"/>
  <c r="D16" i="8"/>
  <c r="H16" i="8" s="1"/>
  <c r="D15" i="8"/>
  <c r="H15" i="8" s="1"/>
  <c r="D14" i="8"/>
  <c r="H14" i="8" s="1"/>
  <c r="D13" i="8"/>
  <c r="G13" i="8" s="1"/>
  <c r="D12" i="8"/>
  <c r="H12" i="8" s="1"/>
  <c r="D11" i="8"/>
  <c r="H11" i="8" s="1"/>
  <c r="D10" i="8"/>
  <c r="G10" i="8" s="1"/>
  <c r="D9" i="8"/>
  <c r="H9" i="8" s="1"/>
  <c r="D8" i="8"/>
  <c r="H8" i="8" s="1"/>
  <c r="D7" i="8"/>
  <c r="G7" i="8" s="1"/>
  <c r="D6" i="8"/>
  <c r="H6" i="8" s="1"/>
  <c r="D5" i="8"/>
  <c r="H5" i="8" s="1"/>
  <c r="G4" i="8"/>
  <c r="O3" i="8"/>
  <c r="F3" i="8"/>
  <c r="E3" i="8"/>
  <c r="I32" i="9" l="1"/>
  <c r="I33" i="9"/>
  <c r="H3" i="9"/>
  <c r="K3" i="9"/>
  <c r="I4" i="9"/>
  <c r="G3" i="9"/>
  <c r="I19" i="9"/>
  <c r="I10" i="9"/>
  <c r="G31" i="8"/>
  <c r="K31" i="8" s="1"/>
  <c r="H25" i="8"/>
  <c r="G5" i="8"/>
  <c r="I5" i="8" s="1"/>
  <c r="I22" i="8"/>
  <c r="G8" i="8"/>
  <c r="G14" i="8"/>
  <c r="G19" i="8"/>
  <c r="I19" i="8" s="1"/>
  <c r="I25" i="8"/>
  <c r="I31" i="8"/>
  <c r="J31" i="8" s="1"/>
  <c r="G17" i="8"/>
  <c r="I17" i="8" s="1"/>
  <c r="H7" i="8"/>
  <c r="H13" i="8"/>
  <c r="I13" i="8" s="1"/>
  <c r="G6" i="8"/>
  <c r="G16" i="8"/>
  <c r="I16" i="8" s="1"/>
  <c r="G20" i="8"/>
  <c r="D3" i="8"/>
  <c r="H10" i="8"/>
  <c r="I10" i="8" s="1"/>
  <c r="H18" i="8"/>
  <c r="I18" i="8" s="1"/>
  <c r="H24" i="8"/>
  <c r="I24" i="8" s="1"/>
  <c r="H29" i="8"/>
  <c r="I29" i="8" s="1"/>
  <c r="G11" i="8"/>
  <c r="I11" i="8" s="1"/>
  <c r="J11" i="8" s="1"/>
  <c r="G21" i="8"/>
  <c r="G27" i="8"/>
  <c r="I27" i="8" s="1"/>
  <c r="G30" i="8"/>
  <c r="G33" i="8"/>
  <c r="I33" i="8" s="1"/>
  <c r="G9" i="8"/>
  <c r="G12" i="8"/>
  <c r="I12" i="8" s="1"/>
  <c r="G15" i="8"/>
  <c r="G23" i="8"/>
  <c r="G26" i="8"/>
  <c r="I26" i="8" s="1"/>
  <c r="G28" i="8"/>
  <c r="G32" i="8"/>
  <c r="I32" i="8" s="1"/>
  <c r="G34" i="8"/>
  <c r="K3" i="7"/>
  <c r="J3" i="7"/>
  <c r="I3" i="7"/>
  <c r="H3" i="7"/>
  <c r="G3" i="7"/>
  <c r="F3" i="7"/>
  <c r="E3" i="7"/>
  <c r="D3" i="7"/>
  <c r="J35" i="7"/>
  <c r="K28" i="7"/>
  <c r="K29" i="7"/>
  <c r="K30" i="7"/>
  <c r="K31" i="7"/>
  <c r="K34" i="7"/>
  <c r="K35" i="7"/>
  <c r="J28" i="7"/>
  <c r="J29" i="7"/>
  <c r="J30" i="7"/>
  <c r="J31" i="7"/>
  <c r="J34" i="7"/>
  <c r="I3" i="9" l="1"/>
  <c r="H3" i="8"/>
  <c r="I14" i="8"/>
  <c r="I8" i="8"/>
  <c r="I9" i="8"/>
  <c r="I7" i="8"/>
  <c r="I30" i="8"/>
  <c r="I34" i="8"/>
  <c r="I28" i="8"/>
  <c r="I21" i="8"/>
  <c r="I20" i="8"/>
  <c r="I23" i="8"/>
  <c r="I15" i="8"/>
  <c r="G3" i="8"/>
  <c r="I6" i="8"/>
  <c r="K20" i="7"/>
  <c r="K21" i="7"/>
  <c r="K22" i="7"/>
  <c r="K23" i="7"/>
  <c r="K25" i="7"/>
  <c r="J20" i="7"/>
  <c r="J21" i="7"/>
  <c r="J22" i="7"/>
  <c r="J23" i="7"/>
  <c r="J25" i="7"/>
  <c r="K3" i="8" l="1"/>
  <c r="J3" i="8"/>
  <c r="I3" i="8"/>
  <c r="K10" i="7"/>
  <c r="K13" i="7"/>
  <c r="K14" i="7"/>
  <c r="K15" i="7"/>
  <c r="K6" i="7"/>
  <c r="K7" i="7"/>
  <c r="K8" i="7"/>
  <c r="J9" i="7"/>
  <c r="J10" i="7"/>
  <c r="J13" i="7"/>
  <c r="J14" i="7"/>
  <c r="J15" i="7"/>
  <c r="J6" i="7"/>
  <c r="J7" i="7"/>
  <c r="J8" i="7"/>
  <c r="D35" i="7"/>
  <c r="H35" i="7" s="1"/>
  <c r="D34" i="7"/>
  <c r="G34" i="7" s="1"/>
  <c r="D33" i="7"/>
  <c r="H33" i="7" s="1"/>
  <c r="D32" i="7"/>
  <c r="H32" i="7" s="1"/>
  <c r="D31" i="7"/>
  <c r="G31" i="7" s="1"/>
  <c r="D30" i="7"/>
  <c r="G30" i="7" s="1"/>
  <c r="D29" i="7"/>
  <c r="H29" i="7" s="1"/>
  <c r="D28" i="7"/>
  <c r="G28" i="7" s="1"/>
  <c r="D27" i="7"/>
  <c r="H27" i="7" s="1"/>
  <c r="D26" i="7"/>
  <c r="G26" i="7" s="1"/>
  <c r="D25" i="7"/>
  <c r="H25" i="7" s="1"/>
  <c r="D24" i="7"/>
  <c r="G24" i="7" s="1"/>
  <c r="D23" i="7"/>
  <c r="G23" i="7" s="1"/>
  <c r="D22" i="7"/>
  <c r="G22" i="7" s="1"/>
  <c r="D21" i="7"/>
  <c r="H21" i="7" s="1"/>
  <c r="D20" i="7"/>
  <c r="G20" i="7" s="1"/>
  <c r="D19" i="7"/>
  <c r="H19" i="7" s="1"/>
  <c r="D18" i="7"/>
  <c r="H18" i="7" s="1"/>
  <c r="D17" i="7"/>
  <c r="G17" i="7" s="1"/>
  <c r="H16" i="7"/>
  <c r="G16" i="7"/>
  <c r="D16" i="7"/>
  <c r="D15" i="7"/>
  <c r="G15" i="7" s="1"/>
  <c r="D14" i="7"/>
  <c r="H14" i="7" s="1"/>
  <c r="D13" i="7"/>
  <c r="G13" i="7" s="1"/>
  <c r="D12" i="7"/>
  <c r="G12" i="7" s="1"/>
  <c r="D11" i="7"/>
  <c r="H11" i="7" s="1"/>
  <c r="D10" i="7"/>
  <c r="G10" i="7" s="1"/>
  <c r="D9" i="7"/>
  <c r="G9" i="7" s="1"/>
  <c r="D8" i="7"/>
  <c r="H8" i="7" s="1"/>
  <c r="D7" i="7"/>
  <c r="G7" i="7" s="1"/>
  <c r="D6" i="7"/>
  <c r="H6" i="7" s="1"/>
  <c r="D5" i="7"/>
  <c r="G5" i="7" s="1"/>
  <c r="G4" i="7"/>
  <c r="O3" i="7"/>
  <c r="H23" i="7" l="1"/>
  <c r="I23" i="7" s="1"/>
  <c r="H20" i="7"/>
  <c r="I20" i="7" s="1"/>
  <c r="G14" i="7"/>
  <c r="I14" i="7" s="1"/>
  <c r="H13" i="7"/>
  <c r="I13" i="7" s="1"/>
  <c r="H31" i="7"/>
  <c r="I31" i="7" s="1"/>
  <c r="G21" i="7"/>
  <c r="I21" i="7" s="1"/>
  <c r="G33" i="7"/>
  <c r="H10" i="7"/>
  <c r="I10" i="7" s="1"/>
  <c r="I15" i="7"/>
  <c r="G19" i="7"/>
  <c r="I19" i="7" s="1"/>
  <c r="H22" i="7"/>
  <c r="I22" i="7" s="1"/>
  <c r="H15" i="7"/>
  <c r="K9" i="7"/>
  <c r="I5" i="7"/>
  <c r="I12" i="7"/>
  <c r="H5" i="7"/>
  <c r="H7" i="7"/>
  <c r="I7" i="7" s="1"/>
  <c r="H9" i="7"/>
  <c r="I9" i="7" s="1"/>
  <c r="H12" i="7"/>
  <c r="H17" i="7"/>
  <c r="I17" i="7" s="1"/>
  <c r="H24" i="7"/>
  <c r="I24" i="7" s="1"/>
  <c r="H26" i="7"/>
  <c r="I26" i="7" s="1"/>
  <c r="H28" i="7"/>
  <c r="I28" i="7" s="1"/>
  <c r="H30" i="7"/>
  <c r="I30" i="7" s="1"/>
  <c r="H34" i="7"/>
  <c r="I34" i="7" s="1"/>
  <c r="G6" i="7"/>
  <c r="I6" i="7" s="1"/>
  <c r="G8" i="7"/>
  <c r="I8" i="7" s="1"/>
  <c r="G11" i="7"/>
  <c r="I11" i="7" s="1"/>
  <c r="I16" i="7"/>
  <c r="G18" i="7"/>
  <c r="G25" i="7"/>
  <c r="I25" i="7" s="1"/>
  <c r="G27" i="7"/>
  <c r="I27" i="7" s="1"/>
  <c r="G29" i="7"/>
  <c r="I29" i="7" s="1"/>
  <c r="G32" i="7"/>
  <c r="I33" i="7"/>
  <c r="G35" i="7"/>
  <c r="J10" i="6"/>
  <c r="K10" i="6"/>
  <c r="J12" i="6"/>
  <c r="K12" i="6"/>
  <c r="J16" i="6"/>
  <c r="K16" i="6"/>
  <c r="J18" i="6"/>
  <c r="K18" i="6"/>
  <c r="J23" i="6"/>
  <c r="K23" i="6"/>
  <c r="J30" i="6"/>
  <c r="K30" i="6"/>
  <c r="J31" i="6"/>
  <c r="K31" i="6"/>
  <c r="J32" i="6"/>
  <c r="K32" i="6"/>
  <c r="J33" i="6"/>
  <c r="K33" i="6"/>
  <c r="J35" i="6"/>
  <c r="K35" i="6"/>
  <c r="G35" i="6"/>
  <c r="I35" i="6" s="1"/>
  <c r="H35" i="6"/>
  <c r="D35" i="6"/>
  <c r="K9" i="6"/>
  <c r="J9" i="6"/>
  <c r="D34" i="6"/>
  <c r="H34" i="6" s="1"/>
  <c r="D33" i="6"/>
  <c r="H33" i="6" s="1"/>
  <c r="D32" i="6"/>
  <c r="H32" i="6" s="1"/>
  <c r="D31" i="6"/>
  <c r="G31" i="6" s="1"/>
  <c r="D30" i="6"/>
  <c r="H30" i="6" s="1"/>
  <c r="D29" i="6"/>
  <c r="G29" i="6" s="1"/>
  <c r="D28" i="6"/>
  <c r="H28" i="6" s="1"/>
  <c r="D27" i="6"/>
  <c r="H27" i="6" s="1"/>
  <c r="D26" i="6"/>
  <c r="H26" i="6" s="1"/>
  <c r="D25" i="6"/>
  <c r="G25" i="6" s="1"/>
  <c r="D24" i="6"/>
  <c r="H24" i="6" s="1"/>
  <c r="D23" i="6"/>
  <c r="G23" i="6" s="1"/>
  <c r="D22" i="6"/>
  <c r="G22" i="6" s="1"/>
  <c r="D21" i="6"/>
  <c r="H21" i="6" s="1"/>
  <c r="D20" i="6"/>
  <c r="G20" i="6" s="1"/>
  <c r="D19" i="6"/>
  <c r="G19" i="6" s="1"/>
  <c r="D18" i="6"/>
  <c r="H18" i="6" s="1"/>
  <c r="D17" i="6"/>
  <c r="G17" i="6" s="1"/>
  <c r="D16" i="6"/>
  <c r="H16" i="6" s="1"/>
  <c r="D15" i="6"/>
  <c r="H15" i="6" s="1"/>
  <c r="D14" i="6"/>
  <c r="G14" i="6" s="1"/>
  <c r="D13" i="6"/>
  <c r="H13" i="6" s="1"/>
  <c r="D12" i="6"/>
  <c r="G12" i="6" s="1"/>
  <c r="D11" i="6"/>
  <c r="G11" i="6" s="1"/>
  <c r="D10" i="6"/>
  <c r="H10" i="6" s="1"/>
  <c r="D9" i="6"/>
  <c r="G9" i="6" s="1"/>
  <c r="D8" i="6"/>
  <c r="H8" i="6" s="1"/>
  <c r="H7" i="6"/>
  <c r="D7" i="6"/>
  <c r="G7" i="6" s="1"/>
  <c r="D6" i="6"/>
  <c r="G6" i="6" s="1"/>
  <c r="D5" i="6"/>
  <c r="G5" i="6" s="1"/>
  <c r="G4" i="6"/>
  <c r="O3" i="6"/>
  <c r="F3" i="6"/>
  <c r="E3" i="6"/>
  <c r="K18" i="5"/>
  <c r="K19" i="5"/>
  <c r="K21" i="5"/>
  <c r="K22" i="5"/>
  <c r="J18" i="5"/>
  <c r="J19" i="5"/>
  <c r="J21" i="5"/>
  <c r="J22" i="5"/>
  <c r="I35" i="7" l="1"/>
  <c r="I32" i="7"/>
  <c r="I18" i="7"/>
  <c r="H14" i="6"/>
  <c r="I14" i="6" s="1"/>
  <c r="H22" i="6"/>
  <c r="H5" i="6"/>
  <c r="H12" i="6"/>
  <c r="I12" i="6" s="1"/>
  <c r="D3" i="6"/>
  <c r="H19" i="6"/>
  <c r="I22" i="6"/>
  <c r="I29" i="6"/>
  <c r="I5" i="6"/>
  <c r="I19" i="6"/>
  <c r="I7" i="6"/>
  <c r="G15" i="6"/>
  <c r="I15" i="6" s="1"/>
  <c r="G27" i="6"/>
  <c r="I27" i="6" s="1"/>
  <c r="G33" i="6"/>
  <c r="I33" i="6" s="1"/>
  <c r="H6" i="6"/>
  <c r="H9" i="6"/>
  <c r="I9" i="6" s="1"/>
  <c r="H11" i="6"/>
  <c r="I11" i="6" s="1"/>
  <c r="H17" i="6"/>
  <c r="I17" i="6" s="1"/>
  <c r="H20" i="6"/>
  <c r="I20" i="6" s="1"/>
  <c r="H23" i="6"/>
  <c r="I23" i="6" s="1"/>
  <c r="H25" i="6"/>
  <c r="I25" i="6" s="1"/>
  <c r="H29" i="6"/>
  <c r="H31" i="6"/>
  <c r="I31" i="6" s="1"/>
  <c r="G8" i="6"/>
  <c r="I8" i="6" s="1"/>
  <c r="G10" i="6"/>
  <c r="I10" i="6" s="1"/>
  <c r="G13" i="6"/>
  <c r="G16" i="6"/>
  <c r="I16" i="6" s="1"/>
  <c r="G18" i="6"/>
  <c r="G21" i="6"/>
  <c r="G24" i="6"/>
  <c r="I24" i="6" s="1"/>
  <c r="G26" i="6"/>
  <c r="I26" i="6" s="1"/>
  <c r="G28" i="6"/>
  <c r="I28" i="6" s="1"/>
  <c r="G30" i="6"/>
  <c r="I30" i="6" s="1"/>
  <c r="G32" i="6"/>
  <c r="I32" i="6" s="1"/>
  <c r="G34" i="6"/>
  <c r="I34" i="6" s="1"/>
  <c r="K5" i="5"/>
  <c r="K6" i="5"/>
  <c r="J5" i="5"/>
  <c r="J6" i="5"/>
  <c r="D6" i="5"/>
  <c r="H6" i="5" s="1"/>
  <c r="D7" i="5"/>
  <c r="D8" i="5"/>
  <c r="D9" i="5"/>
  <c r="H9" i="5" s="1"/>
  <c r="D10" i="5"/>
  <c r="H10" i="5" s="1"/>
  <c r="D11" i="5"/>
  <c r="H11" i="5" s="1"/>
  <c r="D12" i="5"/>
  <c r="G12" i="5" s="1"/>
  <c r="K12" i="5" s="1"/>
  <c r="D34" i="5"/>
  <c r="H34" i="5" s="1"/>
  <c r="D33" i="5"/>
  <c r="H33" i="5" s="1"/>
  <c r="D32" i="5"/>
  <c r="H32" i="5" s="1"/>
  <c r="D31" i="5"/>
  <c r="H31" i="5" s="1"/>
  <c r="D30" i="5"/>
  <c r="H30" i="5" s="1"/>
  <c r="D29" i="5"/>
  <c r="D28" i="5"/>
  <c r="H28" i="5" s="1"/>
  <c r="D27" i="5"/>
  <c r="H27" i="5" s="1"/>
  <c r="D26" i="5"/>
  <c r="H26" i="5" s="1"/>
  <c r="D25" i="5"/>
  <c r="H25" i="5" s="1"/>
  <c r="D24" i="5"/>
  <c r="D23" i="5"/>
  <c r="D22" i="5"/>
  <c r="H22" i="5" s="1"/>
  <c r="D21" i="5"/>
  <c r="H21" i="5" s="1"/>
  <c r="D20" i="5"/>
  <c r="D19" i="5"/>
  <c r="H19" i="5" s="1"/>
  <c r="D18" i="5"/>
  <c r="H18" i="5" s="1"/>
  <c r="D17" i="5"/>
  <c r="H17" i="5" s="1"/>
  <c r="D16" i="5"/>
  <c r="H16" i="5" s="1"/>
  <c r="D15" i="5"/>
  <c r="D14" i="5"/>
  <c r="H14" i="5" s="1"/>
  <c r="D13" i="5"/>
  <c r="H13" i="5" s="1"/>
  <c r="D5" i="5"/>
  <c r="H5" i="5" s="1"/>
  <c r="O3" i="5"/>
  <c r="F3" i="5"/>
  <c r="E3" i="5"/>
  <c r="G3" i="6" l="1"/>
  <c r="H3" i="6"/>
  <c r="I6" i="6"/>
  <c r="I21" i="6"/>
  <c r="I13" i="6"/>
  <c r="K3" i="6"/>
  <c r="I18" i="6"/>
  <c r="G4" i="5"/>
  <c r="G34" i="5"/>
  <c r="I34" i="5" s="1"/>
  <c r="G8" i="5"/>
  <c r="G18" i="5"/>
  <c r="I18" i="5" s="1"/>
  <c r="G23" i="5"/>
  <c r="G15" i="5"/>
  <c r="G6" i="5"/>
  <c r="G29" i="5"/>
  <c r="G24" i="5"/>
  <c r="G30" i="5"/>
  <c r="G20" i="5"/>
  <c r="G7" i="5"/>
  <c r="K7" i="5" s="1"/>
  <c r="H7" i="5"/>
  <c r="G25" i="5"/>
  <c r="I25" i="5" s="1"/>
  <c r="H15" i="5"/>
  <c r="G27" i="5"/>
  <c r="G33" i="5"/>
  <c r="I33" i="5" s="1"/>
  <c r="H12" i="5"/>
  <c r="I12" i="5" s="1"/>
  <c r="J12" i="5" s="1"/>
  <c r="H24" i="5"/>
  <c r="G14" i="5"/>
  <c r="K14" i="5" s="1"/>
  <c r="G11" i="5"/>
  <c r="G17" i="5"/>
  <c r="G26" i="5"/>
  <c r="I26" i="5" s="1"/>
  <c r="H20" i="5"/>
  <c r="H23" i="5"/>
  <c r="I23" i="5" s="1"/>
  <c r="G32" i="5"/>
  <c r="H8" i="5"/>
  <c r="G10" i="5"/>
  <c r="G13" i="5"/>
  <c r="G16" i="5"/>
  <c r="G22" i="5"/>
  <c r="H29" i="5"/>
  <c r="D3" i="5"/>
  <c r="G28" i="5"/>
  <c r="G31" i="5"/>
  <c r="G5" i="5"/>
  <c r="I5" i="5" s="1"/>
  <c r="G9" i="5"/>
  <c r="G19" i="5"/>
  <c r="I19" i="5" s="1"/>
  <c r="G21" i="5"/>
  <c r="O3" i="4"/>
  <c r="P33" i="4"/>
  <c r="D35" i="4"/>
  <c r="H35" i="4" s="1"/>
  <c r="J28" i="4"/>
  <c r="K28" i="4"/>
  <c r="I3" i="6" l="1"/>
  <c r="J3" i="6"/>
  <c r="I20" i="5"/>
  <c r="I13" i="5"/>
  <c r="J13" i="5" s="1"/>
  <c r="K13" i="5"/>
  <c r="I11" i="5"/>
  <c r="J11" i="5" s="1"/>
  <c r="K11" i="5"/>
  <c r="I8" i="5"/>
  <c r="I6" i="5"/>
  <c r="I29" i="5"/>
  <c r="I7" i="5"/>
  <c r="J7" i="5" s="1"/>
  <c r="I30" i="5"/>
  <c r="I15" i="5"/>
  <c r="I24" i="5"/>
  <c r="I27" i="5"/>
  <c r="H3" i="5"/>
  <c r="G3" i="5"/>
  <c r="I9" i="5"/>
  <c r="I32" i="5"/>
  <c r="I31" i="5"/>
  <c r="I17" i="5"/>
  <c r="I21" i="5"/>
  <c r="I22" i="5"/>
  <c r="I16" i="5"/>
  <c r="I28" i="5"/>
  <c r="I10" i="5"/>
  <c r="I14" i="5"/>
  <c r="J14" i="5" s="1"/>
  <c r="K23" i="4"/>
  <c r="K24" i="4"/>
  <c r="K27" i="4"/>
  <c r="J23" i="4"/>
  <c r="J24" i="4"/>
  <c r="J27" i="4"/>
  <c r="P26" i="4"/>
  <c r="K22" i="4"/>
  <c r="J22" i="4"/>
  <c r="J3" i="5" l="1"/>
  <c r="I3" i="5"/>
  <c r="K3" i="5"/>
  <c r="K6" i="4"/>
  <c r="K9" i="4"/>
  <c r="G35" i="4" l="1"/>
  <c r="G11" i="4"/>
  <c r="P3" i="4"/>
  <c r="G4" i="4" s="1"/>
  <c r="D34" i="4"/>
  <c r="H34" i="4" s="1"/>
  <c r="D33" i="4"/>
  <c r="G33" i="4" s="1"/>
  <c r="D32" i="4"/>
  <c r="H32" i="4" s="1"/>
  <c r="D31" i="4"/>
  <c r="H31" i="4" s="1"/>
  <c r="D30" i="4"/>
  <c r="H30" i="4" s="1"/>
  <c r="D29" i="4"/>
  <c r="G29" i="4" s="1"/>
  <c r="D28" i="4"/>
  <c r="H28" i="4" s="1"/>
  <c r="D27" i="4"/>
  <c r="G27" i="4" s="1"/>
  <c r="D26" i="4"/>
  <c r="H26" i="4" s="1"/>
  <c r="H25" i="4"/>
  <c r="D25" i="4"/>
  <c r="G25" i="4" s="1"/>
  <c r="I25" i="4" s="1"/>
  <c r="D24" i="4"/>
  <c r="H24" i="4" s="1"/>
  <c r="D23" i="4"/>
  <c r="G23" i="4" s="1"/>
  <c r="D22" i="4"/>
  <c r="H22" i="4" s="1"/>
  <c r="D21" i="4"/>
  <c r="G21" i="4" s="1"/>
  <c r="K21" i="4" s="1"/>
  <c r="D20" i="4"/>
  <c r="H20" i="4" s="1"/>
  <c r="H19" i="4"/>
  <c r="D19" i="4"/>
  <c r="G19" i="4" s="1"/>
  <c r="I19" i="4" s="1"/>
  <c r="D18" i="4"/>
  <c r="H18" i="4" s="1"/>
  <c r="D17" i="4"/>
  <c r="G17" i="4" s="1"/>
  <c r="K17" i="4" s="1"/>
  <c r="D16" i="4"/>
  <c r="H16" i="4" s="1"/>
  <c r="D15" i="4"/>
  <c r="H15" i="4" s="1"/>
  <c r="D14" i="4"/>
  <c r="G14" i="4" s="1"/>
  <c r="D13" i="4"/>
  <c r="H13" i="4" s="1"/>
  <c r="D12" i="4"/>
  <c r="D11" i="4"/>
  <c r="D10" i="4"/>
  <c r="H10" i="4" s="1"/>
  <c r="H9" i="4"/>
  <c r="D8" i="4"/>
  <c r="G8" i="4" s="1"/>
  <c r="D7" i="4"/>
  <c r="H7" i="4" s="1"/>
  <c r="H6" i="4"/>
  <c r="D5" i="4"/>
  <c r="H5" i="4" s="1"/>
  <c r="F3" i="4"/>
  <c r="E3" i="4"/>
  <c r="G35" i="3"/>
  <c r="D34" i="3"/>
  <c r="H34" i="3" s="1"/>
  <c r="G33" i="3"/>
  <c r="D33" i="3"/>
  <c r="H33" i="3" s="1"/>
  <c r="I33" i="3" s="1"/>
  <c r="D32" i="3"/>
  <c r="H32" i="3" s="1"/>
  <c r="G31" i="3"/>
  <c r="D31" i="3"/>
  <c r="H31" i="3" s="1"/>
  <c r="I31" i="3" s="1"/>
  <c r="D30" i="3"/>
  <c r="H30" i="3" s="1"/>
  <c r="G29" i="3"/>
  <c r="D29" i="3"/>
  <c r="H29" i="3" s="1"/>
  <c r="I29" i="3" s="1"/>
  <c r="D28" i="3"/>
  <c r="H28" i="3" s="1"/>
  <c r="G27" i="3"/>
  <c r="D27" i="3"/>
  <c r="H27" i="3" s="1"/>
  <c r="I27" i="3" s="1"/>
  <c r="D26" i="3"/>
  <c r="H26" i="3" s="1"/>
  <c r="G25" i="3"/>
  <c r="D25" i="3"/>
  <c r="H25" i="3" s="1"/>
  <c r="I25" i="3" s="1"/>
  <c r="D24" i="3"/>
  <c r="H24" i="3" s="1"/>
  <c r="G23" i="3"/>
  <c r="D23" i="3"/>
  <c r="H23" i="3" s="1"/>
  <c r="I23" i="3" s="1"/>
  <c r="D22" i="3"/>
  <c r="H22" i="3" s="1"/>
  <c r="G21" i="3"/>
  <c r="D21" i="3"/>
  <c r="H21" i="3" s="1"/>
  <c r="I21" i="3" s="1"/>
  <c r="D20" i="3"/>
  <c r="H20" i="3" s="1"/>
  <c r="G19" i="3"/>
  <c r="D19" i="3"/>
  <c r="H19" i="3" s="1"/>
  <c r="I19" i="3" s="1"/>
  <c r="H18" i="3"/>
  <c r="G18" i="3"/>
  <c r="K18" i="3" s="1"/>
  <c r="D18" i="3"/>
  <c r="H17" i="3"/>
  <c r="D17" i="3"/>
  <c r="G17" i="3" s="1"/>
  <c r="I17" i="3" s="1"/>
  <c r="G16" i="3"/>
  <c r="K16" i="3" s="1"/>
  <c r="D16" i="3"/>
  <c r="H16" i="3" s="1"/>
  <c r="I16" i="3" s="1"/>
  <c r="J16" i="3" s="1"/>
  <c r="H15" i="3"/>
  <c r="G15" i="3"/>
  <c r="K15" i="3" s="1"/>
  <c r="D15" i="3"/>
  <c r="H14" i="3"/>
  <c r="D14" i="3"/>
  <c r="G14" i="3" s="1"/>
  <c r="I14" i="3" s="1"/>
  <c r="H13" i="3"/>
  <c r="G13" i="3"/>
  <c r="I13" i="3" s="1"/>
  <c r="D13" i="3"/>
  <c r="H12" i="3"/>
  <c r="D12" i="3"/>
  <c r="G12" i="3" s="1"/>
  <c r="I12" i="3" s="1"/>
  <c r="G11" i="3"/>
  <c r="K11" i="3" s="1"/>
  <c r="D11" i="3"/>
  <c r="H11" i="3" s="1"/>
  <c r="I11" i="3" s="1"/>
  <c r="J11" i="3" s="1"/>
  <c r="H10" i="3"/>
  <c r="G10" i="3"/>
  <c r="K10" i="3" s="1"/>
  <c r="D10" i="3"/>
  <c r="D9" i="3"/>
  <c r="H9" i="3" s="1"/>
  <c r="H8" i="3"/>
  <c r="D8" i="3"/>
  <c r="G8" i="3" s="1"/>
  <c r="H7" i="3"/>
  <c r="G7" i="3"/>
  <c r="I7" i="3" s="1"/>
  <c r="D7" i="3"/>
  <c r="H6" i="3"/>
  <c r="D6" i="3"/>
  <c r="G6" i="3" s="1"/>
  <c r="I6" i="3" s="1"/>
  <c r="H5" i="3"/>
  <c r="H3" i="3" s="1"/>
  <c r="G5" i="3"/>
  <c r="D5" i="3"/>
  <c r="O3" i="3"/>
  <c r="F3" i="3"/>
  <c r="E3" i="3"/>
  <c r="D3" i="3"/>
  <c r="H34" i="2"/>
  <c r="I34" i="2" s="1"/>
  <c r="G34" i="2"/>
  <c r="D34" i="2"/>
  <c r="H33" i="2"/>
  <c r="D33" i="2"/>
  <c r="G33" i="2" s="1"/>
  <c r="H32" i="2"/>
  <c r="D32" i="2"/>
  <c r="G32" i="2" s="1"/>
  <c r="D31" i="2"/>
  <c r="G31" i="2" s="1"/>
  <c r="H30" i="2"/>
  <c r="I30" i="2" s="1"/>
  <c r="J30" i="2" s="1"/>
  <c r="G30" i="2"/>
  <c r="K30" i="2" s="1"/>
  <c r="D30" i="2"/>
  <c r="H29" i="2"/>
  <c r="D29" i="2"/>
  <c r="G29" i="2" s="1"/>
  <c r="I29" i="2" s="1"/>
  <c r="H28" i="2"/>
  <c r="I28" i="2" s="1"/>
  <c r="G28" i="2"/>
  <c r="D28" i="2"/>
  <c r="H27" i="2"/>
  <c r="D27" i="2"/>
  <c r="G27" i="2" s="1"/>
  <c r="I27" i="2" s="1"/>
  <c r="D26" i="2"/>
  <c r="G26" i="2" s="1"/>
  <c r="H25" i="2"/>
  <c r="I25" i="2" s="1"/>
  <c r="J25" i="2" s="1"/>
  <c r="G25" i="2"/>
  <c r="K25" i="2" s="1"/>
  <c r="D25" i="2"/>
  <c r="H24" i="2"/>
  <c r="D24" i="2"/>
  <c r="G24" i="2" s="1"/>
  <c r="D23" i="2"/>
  <c r="H23" i="2" s="1"/>
  <c r="H22" i="2"/>
  <c r="I22" i="2" s="1"/>
  <c r="J22" i="2" s="1"/>
  <c r="G22" i="2"/>
  <c r="K22" i="2" s="1"/>
  <c r="D22" i="2"/>
  <c r="H21" i="2"/>
  <c r="D21" i="2"/>
  <c r="G21" i="2" s="1"/>
  <c r="D20" i="2"/>
  <c r="H20" i="2" s="1"/>
  <c r="H19" i="2"/>
  <c r="D19" i="2"/>
  <c r="G19" i="2" s="1"/>
  <c r="I19" i="2" s="1"/>
  <c r="H18" i="2"/>
  <c r="D18" i="2"/>
  <c r="G18" i="2" s="1"/>
  <c r="D17" i="2"/>
  <c r="G17" i="2" s="1"/>
  <c r="H16" i="2"/>
  <c r="D16" i="2"/>
  <c r="G16" i="2" s="1"/>
  <c r="I16" i="2" s="1"/>
  <c r="H15" i="2"/>
  <c r="D15" i="2"/>
  <c r="G15" i="2" s="1"/>
  <c r="D14" i="2"/>
  <c r="G14" i="2" s="1"/>
  <c r="H13" i="2"/>
  <c r="D13" i="2"/>
  <c r="G13" i="2" s="1"/>
  <c r="I13" i="2" s="1"/>
  <c r="D12" i="2"/>
  <c r="G12" i="2" s="1"/>
  <c r="H11" i="2"/>
  <c r="I11" i="2" s="1"/>
  <c r="J11" i="2" s="1"/>
  <c r="G11" i="2"/>
  <c r="K11" i="2" s="1"/>
  <c r="D11" i="2"/>
  <c r="H10" i="2"/>
  <c r="D10" i="2"/>
  <c r="G10" i="2" s="1"/>
  <c r="I10" i="2" s="1"/>
  <c r="D9" i="2"/>
  <c r="G9" i="2" s="1"/>
  <c r="H8" i="2"/>
  <c r="I8" i="2" s="1"/>
  <c r="J8" i="2" s="1"/>
  <c r="G8" i="2"/>
  <c r="K8" i="2" s="1"/>
  <c r="D8" i="2"/>
  <c r="H7" i="2"/>
  <c r="D7" i="2"/>
  <c r="G7" i="2" s="1"/>
  <c r="I7" i="2" s="1"/>
  <c r="H6" i="2"/>
  <c r="I6" i="2" s="1"/>
  <c r="G6" i="2"/>
  <c r="D6" i="2"/>
  <c r="H5" i="2"/>
  <c r="D5" i="2"/>
  <c r="G5" i="2" s="1"/>
  <c r="O3" i="2"/>
  <c r="F3" i="2"/>
  <c r="E3" i="2"/>
  <c r="L35" i="1"/>
  <c r="H34" i="1"/>
  <c r="D34" i="1"/>
  <c r="G34" i="1" s="1"/>
  <c r="H33" i="1"/>
  <c r="I33" i="1" s="1"/>
  <c r="J33" i="1" s="1"/>
  <c r="G33" i="1"/>
  <c r="K33" i="1" s="1"/>
  <c r="I32" i="1"/>
  <c r="H32" i="1"/>
  <c r="G32" i="1"/>
  <c r="D32" i="1"/>
  <c r="G31" i="1"/>
  <c r="K31" i="1" s="1"/>
  <c r="D31" i="1"/>
  <c r="H31" i="1" s="1"/>
  <c r="I31" i="1" s="1"/>
  <c r="J31" i="1" s="1"/>
  <c r="H30" i="1"/>
  <c r="G30" i="1"/>
  <c r="K30" i="1" s="1"/>
  <c r="D30" i="1"/>
  <c r="D29" i="1"/>
  <c r="H29" i="1" s="1"/>
  <c r="K28" i="1"/>
  <c r="I28" i="1"/>
  <c r="J28" i="1" s="1"/>
  <c r="H28" i="1"/>
  <c r="G28" i="1"/>
  <c r="D28" i="1"/>
  <c r="G27" i="1"/>
  <c r="K27" i="1" s="1"/>
  <c r="D27" i="1"/>
  <c r="H27" i="1" s="1"/>
  <c r="I27" i="1" s="1"/>
  <c r="J27" i="1" s="1"/>
  <c r="H26" i="1"/>
  <c r="G26" i="1"/>
  <c r="K26" i="1" s="1"/>
  <c r="D26" i="1"/>
  <c r="I25" i="1"/>
  <c r="H25" i="1"/>
  <c r="G25" i="1"/>
  <c r="D25" i="1"/>
  <c r="G24" i="1"/>
  <c r="K24" i="1" s="1"/>
  <c r="D24" i="1"/>
  <c r="H24" i="1" s="1"/>
  <c r="I24" i="1" s="1"/>
  <c r="J24" i="1" s="1"/>
  <c r="H23" i="1"/>
  <c r="G23" i="1"/>
  <c r="K23" i="1" s="1"/>
  <c r="D23" i="1"/>
  <c r="D22" i="1"/>
  <c r="H22" i="1" s="1"/>
  <c r="K21" i="1"/>
  <c r="I21" i="1"/>
  <c r="J21" i="1" s="1"/>
  <c r="H21" i="1"/>
  <c r="G21" i="1"/>
  <c r="D21" i="1"/>
  <c r="G20" i="1"/>
  <c r="K20" i="1" s="1"/>
  <c r="D20" i="1"/>
  <c r="H20" i="1" s="1"/>
  <c r="I20" i="1" s="1"/>
  <c r="J20" i="1" s="1"/>
  <c r="H19" i="1"/>
  <c r="G19" i="1"/>
  <c r="K19" i="1" s="1"/>
  <c r="D19" i="1"/>
  <c r="I18" i="1"/>
  <c r="H18" i="1"/>
  <c r="G18" i="1"/>
  <c r="D18" i="1"/>
  <c r="H17" i="1"/>
  <c r="G17" i="1"/>
  <c r="I17" i="1" s="1"/>
  <c r="D17" i="1"/>
  <c r="I16" i="1"/>
  <c r="H16" i="1"/>
  <c r="G16" i="1"/>
  <c r="D16" i="1"/>
  <c r="G15" i="1"/>
  <c r="D15" i="1"/>
  <c r="H15" i="1" s="1"/>
  <c r="H14" i="1"/>
  <c r="G14" i="1"/>
  <c r="K14" i="1" s="1"/>
  <c r="D14" i="1"/>
  <c r="D13" i="1"/>
  <c r="H13" i="1" s="1"/>
  <c r="K12" i="1"/>
  <c r="I12" i="1"/>
  <c r="J12" i="1" s="1"/>
  <c r="H12" i="1"/>
  <c r="G12" i="1"/>
  <c r="D12" i="1"/>
  <c r="H11" i="1"/>
  <c r="G11" i="1"/>
  <c r="I11" i="1" s="1"/>
  <c r="D11" i="1"/>
  <c r="D10" i="1"/>
  <c r="H10" i="1" s="1"/>
  <c r="K9" i="1"/>
  <c r="I9" i="1"/>
  <c r="J9" i="1" s="1"/>
  <c r="H9" i="1"/>
  <c r="G9" i="1"/>
  <c r="D9" i="1"/>
  <c r="H8" i="1"/>
  <c r="G8" i="1"/>
  <c r="I8" i="1" s="1"/>
  <c r="H7" i="1"/>
  <c r="D7" i="1"/>
  <c r="G7" i="1" s="1"/>
  <c r="H6" i="1"/>
  <c r="D6" i="1"/>
  <c r="G6" i="1" s="1"/>
  <c r="D5" i="1"/>
  <c r="D3" i="1" s="1"/>
  <c r="O3" i="1"/>
  <c r="F3" i="1"/>
  <c r="E3" i="1"/>
  <c r="K35" i="4" l="1"/>
  <c r="I35" i="4"/>
  <c r="J35" i="4" s="1"/>
  <c r="H27" i="4"/>
  <c r="I27" i="4" s="1"/>
  <c r="I33" i="4"/>
  <c r="H23" i="4"/>
  <c r="I23" i="4" s="1"/>
  <c r="H33" i="4"/>
  <c r="G18" i="4"/>
  <c r="K18" i="4" s="1"/>
  <c r="G10" i="4"/>
  <c r="G34" i="4"/>
  <c r="I34" i="4" s="1"/>
  <c r="G26" i="4"/>
  <c r="I26" i="4" s="1"/>
  <c r="G9" i="4"/>
  <c r="H29" i="4"/>
  <c r="I29" i="4" s="1"/>
  <c r="G16" i="4"/>
  <c r="K16" i="4" s="1"/>
  <c r="G32" i="4"/>
  <c r="K32" i="4" s="1"/>
  <c r="G24" i="4"/>
  <c r="I24" i="4" s="1"/>
  <c r="K12" i="4"/>
  <c r="G15" i="4"/>
  <c r="K15" i="4" s="1"/>
  <c r="G7" i="4"/>
  <c r="I7" i="4" s="1"/>
  <c r="G31" i="4"/>
  <c r="G6" i="4"/>
  <c r="I6" i="4" s="1"/>
  <c r="J6" i="4" s="1"/>
  <c r="G30" i="4"/>
  <c r="K30" i="4" s="1"/>
  <c r="G22" i="4"/>
  <c r="I22" i="4" s="1"/>
  <c r="K14" i="4"/>
  <c r="G13" i="4"/>
  <c r="I13" i="4" s="1"/>
  <c r="G5" i="4"/>
  <c r="G20" i="4"/>
  <c r="I20" i="4" s="1"/>
  <c r="G12" i="4"/>
  <c r="G28" i="4"/>
  <c r="H21" i="4"/>
  <c r="I21" i="4" s="1"/>
  <c r="J21" i="4" s="1"/>
  <c r="H12" i="4"/>
  <c r="I12" i="4" s="1"/>
  <c r="J12" i="4" s="1"/>
  <c r="H11" i="4"/>
  <c r="I11" i="4" s="1"/>
  <c r="H14" i="4"/>
  <c r="I14" i="4" s="1"/>
  <c r="J14" i="4" s="1"/>
  <c r="I16" i="4"/>
  <c r="J16" i="4" s="1"/>
  <c r="H8" i="4"/>
  <c r="I8" i="4" s="1"/>
  <c r="H17" i="4"/>
  <c r="I17" i="4" s="1"/>
  <c r="J17" i="4" s="1"/>
  <c r="D3" i="4"/>
  <c r="I28" i="4"/>
  <c r="K9" i="2"/>
  <c r="K14" i="2"/>
  <c r="K34" i="1"/>
  <c r="I34" i="1"/>
  <c r="J34" i="1" s="1"/>
  <c r="K6" i="1"/>
  <c r="I6" i="1"/>
  <c r="J6" i="1" s="1"/>
  <c r="I15" i="1"/>
  <c r="J15" i="1" s="1"/>
  <c r="K15" i="2"/>
  <c r="I15" i="2"/>
  <c r="J15" i="2" s="1"/>
  <c r="K24" i="2"/>
  <c r="I24" i="2"/>
  <c r="J24" i="2" s="1"/>
  <c r="K31" i="2"/>
  <c r="I7" i="1"/>
  <c r="J7" i="1" s="1"/>
  <c r="K7" i="1"/>
  <c r="K21" i="2"/>
  <c r="I21" i="2"/>
  <c r="J21" i="2" s="1"/>
  <c r="K33" i="2"/>
  <c r="I33" i="2"/>
  <c r="J33" i="2" s="1"/>
  <c r="K32" i="2"/>
  <c r="I32" i="2"/>
  <c r="J32" i="2" s="1"/>
  <c r="K5" i="2"/>
  <c r="K3" i="2" s="1"/>
  <c r="I5" i="2"/>
  <c r="I12" i="2"/>
  <c r="K17" i="2"/>
  <c r="K8" i="3"/>
  <c r="I8" i="3"/>
  <c r="J8" i="3" s="1"/>
  <c r="K18" i="2"/>
  <c r="I18" i="2"/>
  <c r="J18" i="2" s="1"/>
  <c r="K26" i="2"/>
  <c r="G5" i="1"/>
  <c r="G20" i="2"/>
  <c r="I20" i="2" s="1"/>
  <c r="G23" i="2"/>
  <c r="I23" i="2" s="1"/>
  <c r="G10" i="1"/>
  <c r="G13" i="1"/>
  <c r="I14" i="1"/>
  <c r="J14" i="1" s="1"/>
  <c r="K15" i="1"/>
  <c r="I19" i="1"/>
  <c r="J19" i="1" s="1"/>
  <c r="G22" i="1"/>
  <c r="I23" i="1"/>
  <c r="J23" i="1" s="1"/>
  <c r="I26" i="1"/>
  <c r="J26" i="1" s="1"/>
  <c r="G29" i="1"/>
  <c r="I30" i="1"/>
  <c r="J30" i="1" s="1"/>
  <c r="H9" i="2"/>
  <c r="I9" i="2" s="1"/>
  <c r="J9" i="2" s="1"/>
  <c r="H12" i="2"/>
  <c r="H14" i="2"/>
  <c r="I14" i="2" s="1"/>
  <c r="J14" i="2" s="1"/>
  <c r="H17" i="2"/>
  <c r="I17" i="2" s="1"/>
  <c r="J17" i="2" s="1"/>
  <c r="H26" i="2"/>
  <c r="I26" i="2" s="1"/>
  <c r="J26" i="2" s="1"/>
  <c r="H31" i="2"/>
  <c r="I31" i="2" s="1"/>
  <c r="J31" i="2" s="1"/>
  <c r="I5" i="3"/>
  <c r="G9" i="3"/>
  <c r="G3" i="3" s="1"/>
  <c r="I10" i="3"/>
  <c r="J10" i="3" s="1"/>
  <c r="I15" i="3"/>
  <c r="J15" i="3" s="1"/>
  <c r="I18" i="3"/>
  <c r="J18" i="3" s="1"/>
  <c r="G20" i="3"/>
  <c r="I20" i="3" s="1"/>
  <c r="G22" i="3"/>
  <c r="I22" i="3" s="1"/>
  <c r="G24" i="3"/>
  <c r="I24" i="3" s="1"/>
  <c r="G26" i="3"/>
  <c r="I26" i="3" s="1"/>
  <c r="G28" i="3"/>
  <c r="I28" i="3" s="1"/>
  <c r="G30" i="3"/>
  <c r="I30" i="3" s="1"/>
  <c r="G32" i="3"/>
  <c r="I32" i="3" s="1"/>
  <c r="G34" i="3"/>
  <c r="I34" i="3" s="1"/>
  <c r="D3" i="2"/>
  <c r="H5" i="1"/>
  <c r="H3" i="1" s="1"/>
  <c r="I32" i="4" l="1"/>
  <c r="J32" i="4" s="1"/>
  <c r="I31" i="4"/>
  <c r="J31" i="4" s="1"/>
  <c r="K31" i="4"/>
  <c r="I30" i="4"/>
  <c r="J30" i="4" s="1"/>
  <c r="H3" i="4"/>
  <c r="K10" i="4"/>
  <c r="K3" i="4" s="1"/>
  <c r="I10" i="4"/>
  <c r="J10" i="4" s="1"/>
  <c r="I5" i="4"/>
  <c r="G3" i="4"/>
  <c r="I18" i="4"/>
  <c r="J18" i="4" s="1"/>
  <c r="I9" i="4"/>
  <c r="J9" i="4" s="1"/>
  <c r="I15" i="4"/>
  <c r="J15" i="4" s="1"/>
  <c r="K5" i="1"/>
  <c r="I5" i="1"/>
  <c r="G3" i="1"/>
  <c r="K3" i="3"/>
  <c r="H3" i="2"/>
  <c r="G3" i="2"/>
  <c r="I22" i="1"/>
  <c r="J22" i="1" s="1"/>
  <c r="K22" i="1"/>
  <c r="I9" i="3"/>
  <c r="J9" i="3" s="1"/>
  <c r="J3" i="3" s="1"/>
  <c r="K9" i="3"/>
  <c r="I13" i="1"/>
  <c r="J13" i="1" s="1"/>
  <c r="K13" i="1"/>
  <c r="I3" i="3"/>
  <c r="I29" i="1"/>
  <c r="J29" i="1" s="1"/>
  <c r="K29" i="1"/>
  <c r="I10" i="1"/>
  <c r="J10" i="1" s="1"/>
  <c r="K10" i="1"/>
  <c r="J5" i="2"/>
  <c r="J3" i="2" s="1"/>
  <c r="I3" i="2"/>
  <c r="J3" i="4" l="1"/>
  <c r="I3" i="4"/>
  <c r="J5" i="1"/>
  <c r="J3" i="1" s="1"/>
  <c r="I3" i="1"/>
  <c r="K3" i="1"/>
</calcChain>
</file>

<file path=xl/sharedStrings.xml><?xml version="1.0" encoding="utf-8"?>
<sst xmlns="http://schemas.openxmlformats.org/spreadsheetml/2006/main" count="267" uniqueCount="26">
  <si>
    <t>Gastos</t>
  </si>
  <si>
    <t>Fecha</t>
  </si>
  <si>
    <t>Ini. Km</t>
  </si>
  <si>
    <t>Fin km</t>
  </si>
  <si>
    <t>Total km</t>
  </si>
  <si>
    <t>Ganancia</t>
  </si>
  <si>
    <t>Horas</t>
  </si>
  <si>
    <t>Gast/Gasoli</t>
  </si>
  <si>
    <t>Gasto/aceit</t>
  </si>
  <si>
    <t>Ganancia R.</t>
  </si>
  <si>
    <t>Gan/hora</t>
  </si>
  <si>
    <t>% G/Ingreso</t>
  </si>
  <si>
    <t>Kilometraje</t>
  </si>
  <si>
    <t>Item</t>
  </si>
  <si>
    <t>Valor</t>
  </si>
  <si>
    <t>Gasol extra</t>
  </si>
  <si>
    <t>km/gal</t>
  </si>
  <si>
    <t>Aceite</t>
  </si>
  <si>
    <t>Valor ac.</t>
  </si>
  <si>
    <t>Gasolina</t>
  </si>
  <si>
    <t>Gasolia</t>
  </si>
  <si>
    <t>Parl,agua,fo</t>
  </si>
  <si>
    <t>Limpieza</t>
  </si>
  <si>
    <t>Freno de m.</t>
  </si>
  <si>
    <t>Bomba embrague</t>
  </si>
  <si>
    <t>Cambio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</si>
</sst>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* #,##0.00\ _€_-;\-* #,##0.00\ _€_-;_-* &quot;-&quot;??\ _€_-;_-@"/>
    <numFmt numFmtId="166" formatCode="_-* #,##0.00\ _€_-;\-* #,##0.00\ _€_-;_-* &quot;-&quot;??\ _€_-;_-@_-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 applyFont="1" applyAlignment="1"/>
    <xf numFmtId="164" fontId="0" fillId="0" borderId="0" xfId="0" applyNumberFormat="1" applyFont="1"/>
    <xf numFmtId="0" fontId="1" fillId="0" borderId="0" xfId="0" applyFont="1"/>
    <xf numFmtId="164" fontId="1" fillId="0" borderId="0" xfId="0" applyNumberFormat="1" applyFont="1"/>
    <xf numFmtId="16" fontId="0" fillId="0" borderId="0" xfId="0" applyNumberFormat="1" applyFont="1"/>
    <xf numFmtId="165" fontId="0" fillId="0" borderId="0" xfId="0" applyNumberFormat="1" applyFont="1"/>
    <xf numFmtId="0" fontId="0" fillId="0" borderId="0" xfId="0" applyFont="1" applyAlignment="1"/>
    <xf numFmtId="166" fontId="0" fillId="0" borderId="0" xfId="0" applyNumberFormat="1" applyFont="1" applyAlignment="1"/>
    <xf numFmtId="43" fontId="0" fillId="0" borderId="0" xfId="1" applyFont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workbookViewId="0">
      <pane ySplit="3" topLeftCell="A4" activePane="bottomLeft" state="frozen"/>
      <selection pane="bottomLeft" activeCell="H5" sqref="H5"/>
    </sheetView>
  </sheetViews>
  <sheetFormatPr baseColWidth="10" defaultColWidth="14.44140625" defaultRowHeight="15" customHeight="1" x14ac:dyDescent="0.3"/>
  <cols>
    <col min="1" max="6" width="10.6640625" customWidth="1"/>
    <col min="7" max="9" width="11.5546875" customWidth="1"/>
    <col min="10" max="14" width="10.6640625" customWidth="1"/>
    <col min="15" max="15" width="11.5546875" customWidth="1"/>
    <col min="16" max="20" width="10.6640625" customWidth="1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2402</v>
      </c>
      <c r="E3" s="3">
        <f t="shared" si="0"/>
        <v>488.9899999999999</v>
      </c>
      <c r="F3" s="3">
        <f t="shared" si="0"/>
        <v>126</v>
      </c>
      <c r="G3" s="3">
        <f t="shared" si="0"/>
        <v>96.158133333333311</v>
      </c>
      <c r="H3" s="3">
        <f t="shared" si="0"/>
        <v>14.412000000000001</v>
      </c>
      <c r="I3" s="3">
        <f t="shared" si="0"/>
        <v>378.41986666666679</v>
      </c>
      <c r="J3" s="3">
        <f t="shared" ref="J3:K3" si="1">AVERAGE(J4:J34)</f>
        <v>3.0525233011272142</v>
      </c>
      <c r="K3" s="3">
        <f t="shared" si="1"/>
        <v>19.467008134563883</v>
      </c>
      <c r="M3" s="2"/>
      <c r="N3" s="2"/>
      <c r="O3" s="3">
        <f>SUM(O4:O34)</f>
        <v>138</v>
      </c>
      <c r="Q3">
        <v>1.758</v>
      </c>
      <c r="R3">
        <v>45</v>
      </c>
      <c r="S3">
        <v>5000</v>
      </c>
      <c r="T3">
        <v>30</v>
      </c>
    </row>
    <row r="4" spans="1:20" ht="14.25" customHeight="1" x14ac:dyDescent="0.3">
      <c r="A4" s="4">
        <v>44256</v>
      </c>
      <c r="E4" s="1"/>
      <c r="G4" s="1"/>
      <c r="H4" s="1"/>
      <c r="I4" s="1"/>
      <c r="O4" s="1"/>
      <c r="Q4">
        <v>1.83</v>
      </c>
    </row>
    <row r="5" spans="1:20" ht="14.25" customHeight="1" x14ac:dyDescent="0.3">
      <c r="A5" s="4">
        <v>44257</v>
      </c>
      <c r="B5">
        <v>69340</v>
      </c>
      <c r="C5">
        <v>69400</v>
      </c>
      <c r="D5">
        <f t="shared" ref="D5:D7" si="2">C5-B5</f>
        <v>60</v>
      </c>
      <c r="E5" s="1">
        <v>11.85</v>
      </c>
      <c r="F5">
        <v>9</v>
      </c>
      <c r="G5" s="1">
        <f t="shared" ref="G5:G19" si="3">(D5*$Q$3)/$R$3</f>
        <v>2.3440000000000003</v>
      </c>
      <c r="H5" s="1">
        <f t="shared" ref="H5:H34" si="4">(D5*$T$3)/$S$3</f>
        <v>0.36</v>
      </c>
      <c r="I5" s="1">
        <f t="shared" ref="I5:I34" si="5">E5-G5-H5</f>
        <v>9.1460000000000008</v>
      </c>
      <c r="J5" s="5">
        <f t="shared" ref="J5:J7" si="6">I5/F5</f>
        <v>1.0162222222222224</v>
      </c>
      <c r="K5" s="5">
        <f t="shared" ref="K5:K7" si="7">(G5*100)/E5</f>
        <v>19.780590717299582</v>
      </c>
      <c r="O5" s="1"/>
    </row>
    <row r="6" spans="1:20" ht="14.25" customHeight="1" x14ac:dyDescent="0.3">
      <c r="A6" s="4">
        <v>44258</v>
      </c>
      <c r="B6">
        <v>69400</v>
      </c>
      <c r="C6">
        <v>69450</v>
      </c>
      <c r="D6">
        <f t="shared" si="2"/>
        <v>50</v>
      </c>
      <c r="E6" s="1">
        <v>9.99</v>
      </c>
      <c r="F6">
        <v>3</v>
      </c>
      <c r="G6" s="1">
        <f t="shared" si="3"/>
        <v>1.9533333333333334</v>
      </c>
      <c r="H6" s="1">
        <f t="shared" si="4"/>
        <v>0.3</v>
      </c>
      <c r="I6" s="1">
        <f t="shared" si="5"/>
        <v>7.7366666666666672</v>
      </c>
      <c r="J6" s="5">
        <f t="shared" si="6"/>
        <v>2.5788888888888892</v>
      </c>
      <c r="K6" s="5">
        <f t="shared" si="7"/>
        <v>19.552886219552885</v>
      </c>
      <c r="O6" s="1"/>
    </row>
    <row r="7" spans="1:20" ht="14.25" customHeight="1" x14ac:dyDescent="0.3">
      <c r="A7" s="4">
        <v>44259</v>
      </c>
      <c r="B7">
        <v>69450</v>
      </c>
      <c r="C7">
        <v>69610</v>
      </c>
      <c r="D7">
        <f t="shared" si="2"/>
        <v>160</v>
      </c>
      <c r="E7" s="1">
        <v>34.74</v>
      </c>
      <c r="F7">
        <v>9</v>
      </c>
      <c r="G7" s="1">
        <f t="shared" si="3"/>
        <v>6.2506666666666657</v>
      </c>
      <c r="H7" s="1">
        <f t="shared" si="4"/>
        <v>0.96</v>
      </c>
      <c r="I7" s="1">
        <f t="shared" si="5"/>
        <v>27.529333333333334</v>
      </c>
      <c r="J7" s="5">
        <f t="shared" si="6"/>
        <v>3.0588148148148147</v>
      </c>
      <c r="K7" s="5">
        <f t="shared" si="7"/>
        <v>17.992707733640373</v>
      </c>
      <c r="M7">
        <v>69450</v>
      </c>
      <c r="N7" t="s">
        <v>19</v>
      </c>
      <c r="O7" s="1">
        <v>7</v>
      </c>
    </row>
    <row r="8" spans="1:20" ht="14.25" customHeight="1" x14ac:dyDescent="0.3">
      <c r="A8" s="4">
        <v>44260</v>
      </c>
      <c r="E8" s="1">
        <v>0</v>
      </c>
      <c r="G8" s="1">
        <f t="shared" si="3"/>
        <v>0</v>
      </c>
      <c r="H8" s="1">
        <f t="shared" si="4"/>
        <v>0</v>
      </c>
      <c r="I8" s="1">
        <f t="shared" si="5"/>
        <v>0</v>
      </c>
      <c r="J8" s="5"/>
      <c r="K8" s="5"/>
      <c r="O8" s="1"/>
    </row>
    <row r="9" spans="1:20" ht="14.25" customHeight="1" x14ac:dyDescent="0.3">
      <c r="A9" s="4">
        <v>44261</v>
      </c>
      <c r="B9">
        <v>69620</v>
      </c>
      <c r="C9">
        <v>69811</v>
      </c>
      <c r="D9">
        <f t="shared" ref="D9:D32" si="8">C9-B9</f>
        <v>191</v>
      </c>
      <c r="E9" s="1">
        <v>32.729999999999997</v>
      </c>
      <c r="F9">
        <v>6</v>
      </c>
      <c r="G9" s="1">
        <f t="shared" si="3"/>
        <v>7.461733333333334</v>
      </c>
      <c r="H9" s="1">
        <f t="shared" si="4"/>
        <v>1.1459999999999999</v>
      </c>
      <c r="I9" s="1">
        <f t="shared" si="5"/>
        <v>24.122266666666661</v>
      </c>
      <c r="J9" s="5">
        <f t="shared" ref="J9:J10" si="9">I9/F9</f>
        <v>4.0203777777777772</v>
      </c>
      <c r="K9" s="5">
        <f t="shared" ref="K9:K10" si="10">(G9*100)/E9</f>
        <v>22.797840920664022</v>
      </c>
      <c r="M9">
        <v>69749</v>
      </c>
      <c r="N9" t="s">
        <v>19</v>
      </c>
      <c r="O9" s="1">
        <v>15</v>
      </c>
    </row>
    <row r="10" spans="1:20" ht="14.25" customHeight="1" x14ac:dyDescent="0.3">
      <c r="A10" s="4">
        <v>44262</v>
      </c>
      <c r="B10">
        <v>69811</v>
      </c>
      <c r="C10">
        <v>69911</v>
      </c>
      <c r="D10">
        <f t="shared" si="8"/>
        <v>100</v>
      </c>
      <c r="E10" s="1">
        <v>21.62</v>
      </c>
      <c r="F10">
        <v>5</v>
      </c>
      <c r="G10" s="1">
        <f t="shared" si="3"/>
        <v>3.9066666666666667</v>
      </c>
      <c r="H10" s="1">
        <f t="shared" si="4"/>
        <v>0.6</v>
      </c>
      <c r="I10" s="1">
        <f t="shared" si="5"/>
        <v>17.113333333333333</v>
      </c>
      <c r="J10" s="5">
        <f t="shared" si="9"/>
        <v>3.4226666666666667</v>
      </c>
      <c r="K10" s="5">
        <f t="shared" si="10"/>
        <v>18.069688559975333</v>
      </c>
      <c r="L10" s="1"/>
      <c r="O10" s="1"/>
    </row>
    <row r="11" spans="1:20" ht="14.25" customHeight="1" x14ac:dyDescent="0.3">
      <c r="A11" s="4">
        <v>44263</v>
      </c>
      <c r="D11">
        <f t="shared" si="8"/>
        <v>0</v>
      </c>
      <c r="E11" s="1"/>
      <c r="G11" s="1">
        <f t="shared" si="3"/>
        <v>0</v>
      </c>
      <c r="H11" s="1">
        <f t="shared" si="4"/>
        <v>0</v>
      </c>
      <c r="I11" s="1">
        <f t="shared" si="5"/>
        <v>0</v>
      </c>
      <c r="J11" s="5"/>
      <c r="K11" s="5"/>
      <c r="L11" s="1"/>
      <c r="O11" s="1"/>
    </row>
    <row r="12" spans="1:20" ht="14.25" customHeight="1" x14ac:dyDescent="0.3">
      <c r="A12" s="4">
        <v>44264</v>
      </c>
      <c r="B12">
        <v>69911</v>
      </c>
      <c r="C12">
        <v>69950</v>
      </c>
      <c r="D12">
        <f t="shared" si="8"/>
        <v>39</v>
      </c>
      <c r="E12" s="1">
        <v>9.27</v>
      </c>
      <c r="F12">
        <v>2</v>
      </c>
      <c r="G12" s="1">
        <f t="shared" si="3"/>
        <v>1.5235999999999998</v>
      </c>
      <c r="H12" s="1">
        <f t="shared" si="4"/>
        <v>0.23400000000000001</v>
      </c>
      <c r="I12" s="1">
        <f t="shared" si="5"/>
        <v>7.5123999999999995</v>
      </c>
      <c r="J12" s="5">
        <f t="shared" ref="J12:J15" si="11">I12/F12</f>
        <v>3.7561999999999998</v>
      </c>
      <c r="K12" s="5">
        <f t="shared" ref="K12:K15" si="12">(G12*100)/E12</f>
        <v>16.435814455231931</v>
      </c>
      <c r="L12" s="1"/>
      <c r="M12">
        <v>59950</v>
      </c>
      <c r="N12" t="s">
        <v>17</v>
      </c>
      <c r="O12" s="1">
        <v>30</v>
      </c>
    </row>
    <row r="13" spans="1:20" ht="14.25" customHeight="1" x14ac:dyDescent="0.3">
      <c r="A13" s="4">
        <v>44265</v>
      </c>
      <c r="B13">
        <v>70032</v>
      </c>
      <c r="C13">
        <v>70110</v>
      </c>
      <c r="D13">
        <f t="shared" si="8"/>
        <v>78</v>
      </c>
      <c r="E13" s="1">
        <v>20.04</v>
      </c>
      <c r="F13">
        <v>5</v>
      </c>
      <c r="G13" s="1">
        <f t="shared" si="3"/>
        <v>3.0471999999999997</v>
      </c>
      <c r="H13" s="1">
        <f t="shared" si="4"/>
        <v>0.46800000000000003</v>
      </c>
      <c r="I13" s="1">
        <f t="shared" si="5"/>
        <v>16.524799999999999</v>
      </c>
      <c r="J13" s="5">
        <f t="shared" si="11"/>
        <v>3.3049599999999999</v>
      </c>
      <c r="K13" s="5">
        <f t="shared" si="12"/>
        <v>15.205588822355288</v>
      </c>
      <c r="L13" s="1"/>
      <c r="M13">
        <v>70108</v>
      </c>
      <c r="N13" t="s">
        <v>19</v>
      </c>
      <c r="O13" s="1">
        <v>14</v>
      </c>
    </row>
    <row r="14" spans="1:20" ht="14.25" customHeight="1" x14ac:dyDescent="0.3">
      <c r="A14" s="4">
        <v>44266</v>
      </c>
      <c r="B14">
        <v>70241</v>
      </c>
      <c r="C14">
        <v>70280</v>
      </c>
      <c r="D14">
        <f t="shared" si="8"/>
        <v>39</v>
      </c>
      <c r="E14" s="1">
        <v>24.13</v>
      </c>
      <c r="F14">
        <v>8</v>
      </c>
      <c r="G14" s="1">
        <f t="shared" si="3"/>
        <v>1.5235999999999998</v>
      </c>
      <c r="H14" s="1">
        <f t="shared" si="4"/>
        <v>0.23400000000000001</v>
      </c>
      <c r="I14" s="1">
        <f t="shared" si="5"/>
        <v>22.372399999999999</v>
      </c>
      <c r="J14" s="5">
        <f t="shared" si="11"/>
        <v>2.7965499999999999</v>
      </c>
      <c r="K14" s="5">
        <f t="shared" si="12"/>
        <v>6.3141317861583088</v>
      </c>
      <c r="L14" s="1"/>
      <c r="O14" s="1"/>
    </row>
    <row r="15" spans="1:20" ht="14.25" customHeight="1" x14ac:dyDescent="0.3">
      <c r="A15" s="4">
        <v>44267</v>
      </c>
      <c r="B15">
        <v>70280</v>
      </c>
      <c r="C15">
        <v>70314</v>
      </c>
      <c r="D15">
        <f t="shared" si="8"/>
        <v>34</v>
      </c>
      <c r="E15" s="1">
        <v>16.309999999999999</v>
      </c>
      <c r="F15">
        <v>4</v>
      </c>
      <c r="G15" s="1">
        <f t="shared" si="3"/>
        <v>1.3282666666666667</v>
      </c>
      <c r="H15" s="1">
        <f t="shared" si="4"/>
        <v>0.20399999999999999</v>
      </c>
      <c r="I15" s="1">
        <f t="shared" si="5"/>
        <v>14.777733333333332</v>
      </c>
      <c r="J15" s="5">
        <f t="shared" si="11"/>
        <v>3.694433333333333</v>
      </c>
      <c r="K15" s="5">
        <f t="shared" si="12"/>
        <v>8.1438790108318013</v>
      </c>
      <c r="L15" s="1"/>
      <c r="O15" s="1"/>
    </row>
    <row r="16" spans="1:20" ht="14.25" customHeight="1" x14ac:dyDescent="0.3">
      <c r="A16" s="4">
        <v>44268</v>
      </c>
      <c r="D16">
        <f t="shared" si="8"/>
        <v>0</v>
      </c>
      <c r="E16" s="1"/>
      <c r="G16" s="1">
        <f t="shared" si="3"/>
        <v>0</v>
      </c>
      <c r="H16" s="1">
        <f t="shared" si="4"/>
        <v>0</v>
      </c>
      <c r="I16" s="1">
        <f t="shared" si="5"/>
        <v>0</v>
      </c>
      <c r="J16" s="5"/>
      <c r="K16" s="5"/>
      <c r="L16" s="1"/>
      <c r="O16" s="1"/>
    </row>
    <row r="17" spans="1:15" ht="14.25" customHeight="1" x14ac:dyDescent="0.3">
      <c r="A17" s="4">
        <v>44269</v>
      </c>
      <c r="D17">
        <f t="shared" si="8"/>
        <v>0</v>
      </c>
      <c r="E17" s="1"/>
      <c r="G17" s="1">
        <f t="shared" si="3"/>
        <v>0</v>
      </c>
      <c r="H17" s="1">
        <f t="shared" si="4"/>
        <v>0</v>
      </c>
      <c r="I17" s="1">
        <f t="shared" si="5"/>
        <v>0</v>
      </c>
      <c r="J17" s="5"/>
      <c r="K17" s="5"/>
      <c r="L17" s="1"/>
      <c r="O17" s="1"/>
    </row>
    <row r="18" spans="1:15" ht="14.25" customHeight="1" x14ac:dyDescent="0.3">
      <c r="A18" s="4">
        <v>44270</v>
      </c>
      <c r="D18">
        <f t="shared" si="8"/>
        <v>0</v>
      </c>
      <c r="E18" s="1"/>
      <c r="G18" s="1">
        <f t="shared" si="3"/>
        <v>0</v>
      </c>
      <c r="H18" s="1">
        <f t="shared" si="4"/>
        <v>0</v>
      </c>
      <c r="I18" s="1">
        <f t="shared" si="5"/>
        <v>0</v>
      </c>
      <c r="J18" s="5"/>
      <c r="K18" s="5"/>
      <c r="L18" s="1"/>
      <c r="O18" s="1"/>
    </row>
    <row r="19" spans="1:15" ht="14.25" customHeight="1" x14ac:dyDescent="0.3">
      <c r="A19" s="4">
        <v>44271</v>
      </c>
      <c r="B19">
        <v>70314</v>
      </c>
      <c r="C19">
        <v>70515</v>
      </c>
      <c r="D19">
        <f t="shared" si="8"/>
        <v>201</v>
      </c>
      <c r="E19" s="1">
        <v>29.64</v>
      </c>
      <c r="F19">
        <v>8</v>
      </c>
      <c r="G19" s="1">
        <f t="shared" si="3"/>
        <v>7.8524000000000003</v>
      </c>
      <c r="H19" s="1">
        <f t="shared" si="4"/>
        <v>1.206</v>
      </c>
      <c r="I19" s="1">
        <f t="shared" si="5"/>
        <v>20.581600000000002</v>
      </c>
      <c r="J19" s="5">
        <f t="shared" ref="J19:J24" si="13">I19/F19</f>
        <v>2.5727000000000002</v>
      </c>
      <c r="K19" s="5">
        <f t="shared" ref="K19:K24" si="14">(G19*100)/E19</f>
        <v>26.492577597840757</v>
      </c>
      <c r="L19" s="1"/>
      <c r="O19" s="1"/>
    </row>
    <row r="20" spans="1:15" ht="14.25" customHeight="1" x14ac:dyDescent="0.3">
      <c r="A20" s="4">
        <v>44272</v>
      </c>
      <c r="B20">
        <v>70515</v>
      </c>
      <c r="C20">
        <v>70636</v>
      </c>
      <c r="D20">
        <f t="shared" si="8"/>
        <v>121</v>
      </c>
      <c r="E20" s="1">
        <v>19.29</v>
      </c>
      <c r="F20">
        <v>6</v>
      </c>
      <c r="G20" s="1">
        <f t="shared" ref="G20:G34" si="15">(D20*$Q$4)/$R$3</f>
        <v>4.9206666666666665</v>
      </c>
      <c r="H20" s="1">
        <f t="shared" si="4"/>
        <v>0.72599999999999998</v>
      </c>
      <c r="I20" s="1">
        <f t="shared" si="5"/>
        <v>13.643333333333334</v>
      </c>
      <c r="J20" s="5">
        <f t="shared" si="13"/>
        <v>2.2738888888888891</v>
      </c>
      <c r="K20" s="5">
        <f t="shared" si="14"/>
        <v>25.508899256955246</v>
      </c>
      <c r="L20" s="1"/>
      <c r="M20">
        <v>70541</v>
      </c>
      <c r="N20" t="s">
        <v>19</v>
      </c>
      <c r="O20" s="1">
        <v>18.5</v>
      </c>
    </row>
    <row r="21" spans="1:15" ht="14.25" customHeight="1" x14ac:dyDescent="0.3">
      <c r="A21" s="4">
        <v>44273</v>
      </c>
      <c r="B21">
        <v>70706</v>
      </c>
      <c r="C21">
        <v>70800</v>
      </c>
      <c r="D21">
        <f t="shared" si="8"/>
        <v>94</v>
      </c>
      <c r="E21" s="1">
        <v>23.89</v>
      </c>
      <c r="F21">
        <v>7</v>
      </c>
      <c r="G21" s="1">
        <f t="shared" si="15"/>
        <v>3.8226666666666671</v>
      </c>
      <c r="H21" s="1">
        <f t="shared" si="4"/>
        <v>0.56399999999999995</v>
      </c>
      <c r="I21" s="1">
        <f t="shared" si="5"/>
        <v>19.503333333333334</v>
      </c>
      <c r="J21" s="5">
        <f t="shared" si="13"/>
        <v>2.7861904761904763</v>
      </c>
      <c r="K21" s="5">
        <f t="shared" si="14"/>
        <v>16.001116227152227</v>
      </c>
      <c r="L21" s="1"/>
      <c r="O21" s="1"/>
    </row>
    <row r="22" spans="1:15" ht="14.25" customHeight="1" x14ac:dyDescent="0.3">
      <c r="A22" s="4">
        <v>44274</v>
      </c>
      <c r="B22">
        <v>70835</v>
      </c>
      <c r="C22">
        <v>70910</v>
      </c>
      <c r="D22">
        <f t="shared" si="8"/>
        <v>75</v>
      </c>
      <c r="E22" s="1">
        <v>11.94</v>
      </c>
      <c r="F22">
        <v>3</v>
      </c>
      <c r="G22" s="1">
        <f t="shared" si="15"/>
        <v>3.05</v>
      </c>
      <c r="H22" s="1">
        <f t="shared" si="4"/>
        <v>0.45</v>
      </c>
      <c r="I22" s="1">
        <f t="shared" si="5"/>
        <v>8.4400000000000013</v>
      </c>
      <c r="J22" s="5">
        <f t="shared" si="13"/>
        <v>2.8133333333333339</v>
      </c>
      <c r="K22" s="5">
        <f t="shared" si="14"/>
        <v>25.544388609715245</v>
      </c>
      <c r="L22" s="1"/>
      <c r="O22" s="1"/>
    </row>
    <row r="23" spans="1:15" ht="14.25" customHeight="1" x14ac:dyDescent="0.3">
      <c r="A23" s="4">
        <v>44275</v>
      </c>
      <c r="B23">
        <v>70910</v>
      </c>
      <c r="C23">
        <v>71001</v>
      </c>
      <c r="D23">
        <f t="shared" si="8"/>
        <v>91</v>
      </c>
      <c r="E23" s="1">
        <v>15.34</v>
      </c>
      <c r="F23">
        <v>4</v>
      </c>
      <c r="G23" s="1">
        <f t="shared" si="15"/>
        <v>3.7006666666666668</v>
      </c>
      <c r="H23" s="1">
        <f t="shared" si="4"/>
        <v>0.54600000000000004</v>
      </c>
      <c r="I23" s="1">
        <f t="shared" si="5"/>
        <v>11.093333333333334</v>
      </c>
      <c r="J23" s="5">
        <f t="shared" si="13"/>
        <v>2.7733333333333334</v>
      </c>
      <c r="K23" s="5">
        <f t="shared" si="14"/>
        <v>24.124293785310734</v>
      </c>
      <c r="L23" s="1"/>
      <c r="O23" s="1"/>
    </row>
    <row r="24" spans="1:15" ht="14.25" customHeight="1" x14ac:dyDescent="0.3">
      <c r="A24" s="4">
        <v>44276</v>
      </c>
      <c r="B24">
        <v>71001</v>
      </c>
      <c r="C24">
        <v>71102</v>
      </c>
      <c r="D24">
        <f t="shared" si="8"/>
        <v>101</v>
      </c>
      <c r="E24" s="1">
        <v>24.33</v>
      </c>
      <c r="F24">
        <v>5</v>
      </c>
      <c r="G24" s="1">
        <f t="shared" si="15"/>
        <v>4.1073333333333339</v>
      </c>
      <c r="H24" s="1">
        <f t="shared" si="4"/>
        <v>0.60599999999999998</v>
      </c>
      <c r="I24" s="1">
        <f t="shared" si="5"/>
        <v>19.616666666666664</v>
      </c>
      <c r="J24" s="5">
        <f t="shared" si="13"/>
        <v>3.9233333333333329</v>
      </c>
      <c r="K24" s="5">
        <f t="shared" si="14"/>
        <v>16.88176462529114</v>
      </c>
      <c r="L24" s="1"/>
      <c r="M24">
        <v>71004</v>
      </c>
      <c r="N24" t="s">
        <v>19</v>
      </c>
      <c r="O24" s="1">
        <v>19</v>
      </c>
    </row>
    <row r="25" spans="1:15" ht="14.25" customHeight="1" x14ac:dyDescent="0.3">
      <c r="A25" s="4">
        <v>44277</v>
      </c>
      <c r="D25">
        <f t="shared" si="8"/>
        <v>0</v>
      </c>
      <c r="E25" s="1"/>
      <c r="G25" s="1">
        <f t="shared" si="15"/>
        <v>0</v>
      </c>
      <c r="H25" s="1">
        <f t="shared" si="4"/>
        <v>0</v>
      </c>
      <c r="I25" s="1">
        <f t="shared" si="5"/>
        <v>0</v>
      </c>
      <c r="J25" s="5"/>
      <c r="K25" s="5"/>
      <c r="L25" s="1"/>
      <c r="O25" s="1"/>
    </row>
    <row r="26" spans="1:15" ht="14.25" customHeight="1" x14ac:dyDescent="0.3">
      <c r="A26" s="4">
        <v>44278</v>
      </c>
      <c r="B26">
        <v>71102</v>
      </c>
      <c r="C26">
        <v>71353</v>
      </c>
      <c r="D26">
        <f t="shared" si="8"/>
        <v>251</v>
      </c>
      <c r="E26" s="1">
        <v>35.19</v>
      </c>
      <c r="F26">
        <v>7</v>
      </c>
      <c r="G26" s="1">
        <f t="shared" si="15"/>
        <v>10.207333333333334</v>
      </c>
      <c r="H26" s="1">
        <f t="shared" si="4"/>
        <v>1.506</v>
      </c>
      <c r="I26" s="1">
        <f t="shared" si="5"/>
        <v>23.476666666666663</v>
      </c>
      <c r="J26" s="5">
        <f t="shared" ref="J26:J31" si="16">I26/F26</f>
        <v>3.3538095238095234</v>
      </c>
      <c r="K26" s="5">
        <f t="shared" ref="K26:K31" si="17">(G26*100)/E26</f>
        <v>29.006346499952645</v>
      </c>
      <c r="L26" s="1"/>
      <c r="O26" s="1"/>
    </row>
    <row r="27" spans="1:15" ht="14.25" customHeight="1" x14ac:dyDescent="0.3">
      <c r="A27" s="4">
        <v>44279</v>
      </c>
      <c r="B27">
        <v>71373</v>
      </c>
      <c r="C27">
        <v>71490</v>
      </c>
      <c r="D27">
        <f t="shared" si="8"/>
        <v>117</v>
      </c>
      <c r="E27" s="1">
        <v>16.62</v>
      </c>
      <c r="F27">
        <v>4</v>
      </c>
      <c r="G27" s="1">
        <f t="shared" si="15"/>
        <v>4.758</v>
      </c>
      <c r="H27" s="1">
        <f t="shared" si="4"/>
        <v>0.70199999999999996</v>
      </c>
      <c r="I27" s="1">
        <f t="shared" si="5"/>
        <v>11.160000000000002</v>
      </c>
      <c r="J27" s="5">
        <f t="shared" si="16"/>
        <v>2.7900000000000005</v>
      </c>
      <c r="K27" s="5">
        <f t="shared" si="17"/>
        <v>28.628158844765341</v>
      </c>
      <c r="L27" s="1"/>
      <c r="O27" s="1"/>
    </row>
    <row r="28" spans="1:15" ht="14.25" customHeight="1" x14ac:dyDescent="0.3">
      <c r="A28" s="4">
        <v>44280</v>
      </c>
      <c r="B28">
        <v>71490</v>
      </c>
      <c r="C28">
        <v>71550</v>
      </c>
      <c r="D28">
        <f t="shared" si="8"/>
        <v>60</v>
      </c>
      <c r="E28" s="1">
        <v>13.84</v>
      </c>
      <c r="F28">
        <v>4</v>
      </c>
      <c r="G28" s="1">
        <f t="shared" si="15"/>
        <v>2.4400000000000004</v>
      </c>
      <c r="H28" s="1">
        <f t="shared" si="4"/>
        <v>0.36</v>
      </c>
      <c r="I28" s="1">
        <f t="shared" si="5"/>
        <v>11.04</v>
      </c>
      <c r="J28" s="5">
        <f t="shared" si="16"/>
        <v>2.76</v>
      </c>
      <c r="K28" s="5">
        <f t="shared" si="17"/>
        <v>17.630057803468212</v>
      </c>
      <c r="L28" s="1"/>
      <c r="M28">
        <v>71494</v>
      </c>
      <c r="N28" t="s">
        <v>19</v>
      </c>
      <c r="O28" s="1">
        <v>18</v>
      </c>
    </row>
    <row r="29" spans="1:15" ht="14.25" customHeight="1" x14ac:dyDescent="0.3">
      <c r="A29" s="4">
        <v>44281</v>
      </c>
      <c r="B29">
        <v>71576</v>
      </c>
      <c r="C29">
        <v>71600</v>
      </c>
      <c r="D29">
        <f t="shared" si="8"/>
        <v>24</v>
      </c>
      <c r="E29" s="1">
        <v>5.34</v>
      </c>
      <c r="F29">
        <v>2</v>
      </c>
      <c r="G29" s="1">
        <f t="shared" si="15"/>
        <v>0.97600000000000009</v>
      </c>
      <c r="H29" s="1">
        <f t="shared" si="4"/>
        <v>0.14399999999999999</v>
      </c>
      <c r="I29" s="1">
        <f t="shared" si="5"/>
        <v>4.22</v>
      </c>
      <c r="J29" s="5">
        <f t="shared" si="16"/>
        <v>2.11</v>
      </c>
      <c r="K29" s="5">
        <f t="shared" si="17"/>
        <v>18.277153558052436</v>
      </c>
      <c r="L29" s="1"/>
      <c r="O29" s="1"/>
    </row>
    <row r="30" spans="1:15" ht="14.25" customHeight="1" x14ac:dyDescent="0.3">
      <c r="A30" s="4">
        <v>44282</v>
      </c>
      <c r="B30">
        <v>71630</v>
      </c>
      <c r="C30">
        <v>71768</v>
      </c>
      <c r="D30">
        <f t="shared" si="8"/>
        <v>138</v>
      </c>
      <c r="E30" s="1">
        <v>32.19</v>
      </c>
      <c r="F30">
        <v>7</v>
      </c>
      <c r="G30" s="1">
        <f t="shared" si="15"/>
        <v>5.6120000000000001</v>
      </c>
      <c r="H30" s="1">
        <f t="shared" si="4"/>
        <v>0.82799999999999996</v>
      </c>
      <c r="I30" s="1">
        <f t="shared" si="5"/>
        <v>25.749999999999996</v>
      </c>
      <c r="J30" s="5">
        <f t="shared" si="16"/>
        <v>3.6785714285714279</v>
      </c>
      <c r="K30" s="5">
        <f t="shared" si="17"/>
        <v>17.433985709847782</v>
      </c>
      <c r="L30" s="1"/>
      <c r="O30" s="1"/>
    </row>
    <row r="31" spans="1:15" ht="14.25" customHeight="1" x14ac:dyDescent="0.3">
      <c r="A31" s="4">
        <v>44283</v>
      </c>
      <c r="B31">
        <v>71768</v>
      </c>
      <c r="C31">
        <v>71903</v>
      </c>
      <c r="D31">
        <f t="shared" si="8"/>
        <v>135</v>
      </c>
      <c r="E31" s="1">
        <v>29.77</v>
      </c>
      <c r="F31">
        <v>5</v>
      </c>
      <c r="G31" s="1">
        <f t="shared" si="15"/>
        <v>5.49</v>
      </c>
      <c r="H31" s="1">
        <f t="shared" si="4"/>
        <v>0.81</v>
      </c>
      <c r="I31" s="1">
        <f t="shared" si="5"/>
        <v>23.470000000000002</v>
      </c>
      <c r="J31" s="5">
        <f t="shared" si="16"/>
        <v>4.6940000000000008</v>
      </c>
      <c r="K31" s="5">
        <f t="shared" si="17"/>
        <v>18.441383943567349</v>
      </c>
      <c r="L31" s="1"/>
      <c r="O31" s="1"/>
    </row>
    <row r="32" spans="1:15" ht="14.25" customHeight="1" x14ac:dyDescent="0.3">
      <c r="A32" s="4">
        <v>44284</v>
      </c>
      <c r="D32">
        <f t="shared" si="8"/>
        <v>0</v>
      </c>
      <c r="E32" s="1"/>
      <c r="G32" s="1">
        <f t="shared" si="15"/>
        <v>0</v>
      </c>
      <c r="H32" s="1">
        <f t="shared" si="4"/>
        <v>0</v>
      </c>
      <c r="I32" s="1">
        <f t="shared" si="5"/>
        <v>0</v>
      </c>
      <c r="J32" s="5"/>
      <c r="K32" s="5"/>
      <c r="L32" s="1"/>
      <c r="M32">
        <v>71911</v>
      </c>
      <c r="N32" t="s">
        <v>19</v>
      </c>
      <c r="O32" s="1">
        <v>16.5</v>
      </c>
    </row>
    <row r="33" spans="1:15" ht="14.25" customHeight="1" x14ac:dyDescent="0.3">
      <c r="A33" s="4">
        <v>44285</v>
      </c>
      <c r="B33">
        <v>71924</v>
      </c>
      <c r="C33">
        <v>72068</v>
      </c>
      <c r="D33">
        <v>111</v>
      </c>
      <c r="E33" s="1">
        <v>20.89</v>
      </c>
      <c r="F33">
        <v>6</v>
      </c>
      <c r="G33" s="1">
        <f t="shared" si="15"/>
        <v>4.5140000000000002</v>
      </c>
      <c r="H33" s="1">
        <f t="shared" si="4"/>
        <v>0.66600000000000004</v>
      </c>
      <c r="I33" s="1">
        <f t="shared" si="5"/>
        <v>15.71</v>
      </c>
      <c r="J33" s="5">
        <f t="shared" ref="J33:J34" si="18">I33/F33</f>
        <v>2.6183333333333336</v>
      </c>
      <c r="K33" s="5">
        <f t="shared" ref="K33:K34" si="19">(G33*100)/E33</f>
        <v>21.60842508377214</v>
      </c>
      <c r="L33" s="1"/>
      <c r="O33" s="1"/>
    </row>
    <row r="34" spans="1:15" ht="14.25" customHeight="1" x14ac:dyDescent="0.3">
      <c r="A34" s="4">
        <v>44286</v>
      </c>
      <c r="B34">
        <v>72068</v>
      </c>
      <c r="C34">
        <v>72200</v>
      </c>
      <c r="D34">
        <f>C34-B34</f>
        <v>132</v>
      </c>
      <c r="E34" s="1">
        <v>30.04</v>
      </c>
      <c r="F34">
        <v>7</v>
      </c>
      <c r="G34" s="1">
        <f t="shared" si="15"/>
        <v>5.3680000000000003</v>
      </c>
      <c r="H34" s="1">
        <f t="shared" si="4"/>
        <v>0.79200000000000004</v>
      </c>
      <c r="I34" s="1">
        <f t="shared" si="5"/>
        <v>23.879999999999995</v>
      </c>
      <c r="J34" s="5">
        <f t="shared" si="18"/>
        <v>3.4114285714285706</v>
      </c>
      <c r="K34" s="5">
        <f t="shared" si="19"/>
        <v>17.869507323568577</v>
      </c>
      <c r="L34" s="1"/>
      <c r="O34" s="1"/>
    </row>
    <row r="35" spans="1:15" ht="14.25" customHeight="1" x14ac:dyDescent="0.3">
      <c r="D35" s="2"/>
      <c r="E35" s="2"/>
      <c r="F35" s="2"/>
      <c r="G35" s="3"/>
      <c r="H35" s="3"/>
      <c r="I35" s="3"/>
      <c r="J35" s="2"/>
      <c r="K35" s="2"/>
      <c r="L35" s="2">
        <f>SUM(L4:L34)</f>
        <v>0</v>
      </c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6" width="10.6640625" customWidth="1"/>
    <col min="7" max="9" width="11.5546875" customWidth="1"/>
    <col min="10" max="14" width="10.6640625" customWidth="1"/>
    <col min="15" max="15" width="11.5546875" customWidth="1"/>
    <col min="16" max="20" width="10.6640625" customWidth="1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1439</v>
      </c>
      <c r="E3" s="3">
        <f t="shared" si="0"/>
        <v>347.79999999999995</v>
      </c>
      <c r="F3" s="3">
        <f t="shared" si="0"/>
        <v>77</v>
      </c>
      <c r="G3" s="3">
        <f t="shared" si="0"/>
        <v>62.426279069767446</v>
      </c>
      <c r="H3" s="3">
        <f t="shared" si="0"/>
        <v>8.6339999999999968</v>
      </c>
      <c r="I3" s="3">
        <f t="shared" si="0"/>
        <v>276.73972093023252</v>
      </c>
      <c r="J3" s="3">
        <f t="shared" ref="J3:K3" si="1">AVERAGE(J4:J34)</f>
        <v>3.5860071048574471</v>
      </c>
      <c r="K3" s="3">
        <f t="shared" si="1"/>
        <v>18.71931832782774</v>
      </c>
      <c r="M3" s="2"/>
      <c r="N3" s="2"/>
      <c r="O3" s="3">
        <f>SUM(O4:O34)</f>
        <v>79.2</v>
      </c>
      <c r="Q3">
        <v>1.83</v>
      </c>
      <c r="R3">
        <v>43</v>
      </c>
      <c r="S3">
        <v>5000</v>
      </c>
      <c r="T3">
        <v>30</v>
      </c>
    </row>
    <row r="4" spans="1:20" ht="14.25" customHeight="1" x14ac:dyDescent="0.3">
      <c r="A4" s="4"/>
      <c r="E4" s="1"/>
      <c r="G4" s="1"/>
      <c r="H4" s="1"/>
      <c r="I4" s="1"/>
      <c r="O4" s="1"/>
      <c r="Q4">
        <v>1.91</v>
      </c>
    </row>
    <row r="5" spans="1:20" ht="14.25" customHeight="1" x14ac:dyDescent="0.3">
      <c r="A5" s="4">
        <v>44287</v>
      </c>
      <c r="B5">
        <v>72223</v>
      </c>
      <c r="C5">
        <v>72307</v>
      </c>
      <c r="D5">
        <f t="shared" ref="D5:D34" si="2">C5-B5</f>
        <v>84</v>
      </c>
      <c r="E5" s="1">
        <v>17.62</v>
      </c>
      <c r="F5">
        <v>4</v>
      </c>
      <c r="G5" s="1">
        <f t="shared" ref="G5:G20" si="3">(D5*$Q$3)/$R$3</f>
        <v>3.5748837209302327</v>
      </c>
      <c r="H5" s="1">
        <f t="shared" ref="H5:H34" si="4">(D5*$T$3)/$S$3</f>
        <v>0.504</v>
      </c>
      <c r="I5" s="1">
        <f t="shared" ref="I5:I34" si="5">E5-G5-H5</f>
        <v>13.541116279069769</v>
      </c>
      <c r="J5" s="5">
        <f>I5/F5</f>
        <v>3.3852790697674422</v>
      </c>
      <c r="K5" s="5">
        <f>(G5*100)/E5</f>
        <v>20.288783887231737</v>
      </c>
      <c r="O5" s="1"/>
    </row>
    <row r="6" spans="1:20" ht="14.25" customHeight="1" x14ac:dyDescent="0.3">
      <c r="A6" s="4">
        <v>44288</v>
      </c>
      <c r="D6">
        <f t="shared" si="2"/>
        <v>0</v>
      </c>
      <c r="E6" s="1"/>
      <c r="G6" s="1">
        <f t="shared" si="3"/>
        <v>0</v>
      </c>
      <c r="H6" s="1">
        <f t="shared" si="4"/>
        <v>0</v>
      </c>
      <c r="I6" s="1">
        <f t="shared" si="5"/>
        <v>0</v>
      </c>
      <c r="J6" s="5"/>
      <c r="K6" s="5"/>
      <c r="O6" s="1"/>
    </row>
    <row r="7" spans="1:20" ht="14.25" customHeight="1" x14ac:dyDescent="0.3">
      <c r="A7" s="4">
        <v>44289</v>
      </c>
      <c r="D7">
        <f t="shared" si="2"/>
        <v>0</v>
      </c>
      <c r="E7" s="1"/>
      <c r="G7" s="1">
        <f t="shared" si="3"/>
        <v>0</v>
      </c>
      <c r="H7" s="1">
        <f t="shared" si="4"/>
        <v>0</v>
      </c>
      <c r="I7" s="1">
        <f t="shared" si="5"/>
        <v>0</v>
      </c>
      <c r="J7" s="5"/>
      <c r="K7" s="5"/>
      <c r="O7" s="1"/>
    </row>
    <row r="8" spans="1:20" ht="14.25" customHeight="1" x14ac:dyDescent="0.3">
      <c r="A8" s="4">
        <v>44290</v>
      </c>
      <c r="B8">
        <v>72325</v>
      </c>
      <c r="C8">
        <v>72405</v>
      </c>
      <c r="D8">
        <f t="shared" si="2"/>
        <v>80</v>
      </c>
      <c r="E8" s="1">
        <v>21.08</v>
      </c>
      <c r="F8">
        <v>4</v>
      </c>
      <c r="G8" s="1">
        <f t="shared" si="3"/>
        <v>3.4046511627906977</v>
      </c>
      <c r="H8" s="1">
        <f t="shared" si="4"/>
        <v>0.48</v>
      </c>
      <c r="I8" s="1">
        <f t="shared" si="5"/>
        <v>17.195348837209298</v>
      </c>
      <c r="J8" s="5">
        <f t="shared" ref="J8:J9" si="6">I8/F8</f>
        <v>4.2988372093023246</v>
      </c>
      <c r="K8" s="5">
        <f t="shared" ref="K8:K9" si="7">(G8*100)/E8</f>
        <v>16.151096597678833</v>
      </c>
      <c r="M8">
        <v>72328</v>
      </c>
      <c r="N8" t="s">
        <v>19</v>
      </c>
      <c r="O8" s="1">
        <v>19.5</v>
      </c>
    </row>
    <row r="9" spans="1:20" ht="14.25" customHeight="1" x14ac:dyDescent="0.3">
      <c r="A9" s="4">
        <v>44291</v>
      </c>
      <c r="B9">
        <v>72405</v>
      </c>
      <c r="C9">
        <v>72525</v>
      </c>
      <c r="D9">
        <f t="shared" si="2"/>
        <v>120</v>
      </c>
      <c r="E9" s="1">
        <v>38.39</v>
      </c>
      <c r="F9">
        <v>7</v>
      </c>
      <c r="G9" s="1">
        <f t="shared" si="3"/>
        <v>5.1069767441860474</v>
      </c>
      <c r="H9" s="1">
        <f t="shared" si="4"/>
        <v>0.72</v>
      </c>
      <c r="I9" s="1">
        <f t="shared" si="5"/>
        <v>32.563023255813953</v>
      </c>
      <c r="J9" s="5">
        <f t="shared" si="6"/>
        <v>4.6518604651162789</v>
      </c>
      <c r="K9" s="5">
        <f t="shared" si="7"/>
        <v>13.302882897072276</v>
      </c>
      <c r="O9" s="1"/>
    </row>
    <row r="10" spans="1:20" ht="14.25" customHeight="1" x14ac:dyDescent="0.3">
      <c r="A10" s="4">
        <v>44292</v>
      </c>
      <c r="D10">
        <f t="shared" si="2"/>
        <v>0</v>
      </c>
      <c r="E10" s="1"/>
      <c r="G10" s="1">
        <f t="shared" si="3"/>
        <v>0</v>
      </c>
      <c r="H10" s="1">
        <f t="shared" si="4"/>
        <v>0</v>
      </c>
      <c r="I10" s="1">
        <f t="shared" si="5"/>
        <v>0</v>
      </c>
      <c r="J10" s="5"/>
      <c r="K10" s="5"/>
      <c r="L10" s="1"/>
      <c r="O10" s="1"/>
    </row>
    <row r="11" spans="1:20" ht="14.25" customHeight="1" x14ac:dyDescent="0.3">
      <c r="A11" s="4">
        <v>44293</v>
      </c>
      <c r="B11">
        <v>72525</v>
      </c>
      <c r="C11">
        <v>72622</v>
      </c>
      <c r="D11">
        <f t="shared" si="2"/>
        <v>97</v>
      </c>
      <c r="E11" s="1">
        <v>31.04</v>
      </c>
      <c r="F11">
        <v>6</v>
      </c>
      <c r="G11" s="1">
        <f t="shared" si="3"/>
        <v>4.1281395348837213</v>
      </c>
      <c r="H11" s="1">
        <f t="shared" si="4"/>
        <v>0.58199999999999996</v>
      </c>
      <c r="I11" s="1">
        <f t="shared" si="5"/>
        <v>26.329860465116276</v>
      </c>
      <c r="J11" s="5">
        <f>I11/F11</f>
        <v>4.3883100775193791</v>
      </c>
      <c r="K11" s="5">
        <f>(G11*100)/E11</f>
        <v>13.299418604651164</v>
      </c>
      <c r="L11" s="1"/>
      <c r="O11" s="1"/>
    </row>
    <row r="12" spans="1:20" ht="14.25" customHeight="1" x14ac:dyDescent="0.3">
      <c r="A12" s="4">
        <v>44294</v>
      </c>
      <c r="D12">
        <f t="shared" si="2"/>
        <v>0</v>
      </c>
      <c r="E12" s="1"/>
      <c r="G12" s="1">
        <f t="shared" si="3"/>
        <v>0</v>
      </c>
      <c r="H12" s="1">
        <f t="shared" si="4"/>
        <v>0</v>
      </c>
      <c r="I12" s="1">
        <f t="shared" si="5"/>
        <v>0</v>
      </c>
      <c r="J12" s="5"/>
      <c r="K12" s="5"/>
      <c r="L12" s="1"/>
      <c r="O12" s="1"/>
    </row>
    <row r="13" spans="1:20" ht="14.25" customHeight="1" x14ac:dyDescent="0.3">
      <c r="A13" s="4">
        <v>44295</v>
      </c>
      <c r="D13">
        <f t="shared" si="2"/>
        <v>0</v>
      </c>
      <c r="E13" s="1"/>
      <c r="G13" s="1">
        <f t="shared" si="3"/>
        <v>0</v>
      </c>
      <c r="H13" s="1">
        <f t="shared" si="4"/>
        <v>0</v>
      </c>
      <c r="I13" s="1">
        <f t="shared" si="5"/>
        <v>0</v>
      </c>
      <c r="J13" s="5"/>
      <c r="K13" s="5"/>
      <c r="L13" s="1"/>
      <c r="O13" s="1"/>
    </row>
    <row r="14" spans="1:20" ht="14.25" customHeight="1" x14ac:dyDescent="0.3">
      <c r="A14" s="4">
        <v>44296</v>
      </c>
      <c r="B14">
        <v>72723</v>
      </c>
      <c r="C14">
        <v>72793</v>
      </c>
      <c r="D14">
        <f t="shared" si="2"/>
        <v>70</v>
      </c>
      <c r="E14" s="1">
        <v>16.03</v>
      </c>
      <c r="F14">
        <v>5</v>
      </c>
      <c r="G14" s="1">
        <f t="shared" si="3"/>
        <v>2.9790697674418603</v>
      </c>
      <c r="H14" s="1">
        <f t="shared" si="4"/>
        <v>0.42</v>
      </c>
      <c r="I14" s="1">
        <f t="shared" si="5"/>
        <v>12.630930232558141</v>
      </c>
      <c r="J14" s="5">
        <f t="shared" ref="J14:J15" si="8">I14/F14</f>
        <v>2.5261860465116284</v>
      </c>
      <c r="K14" s="5">
        <f t="shared" ref="K14:K15" si="9">(G14*100)/E14</f>
        <v>18.584340408246163</v>
      </c>
      <c r="L14" s="1"/>
      <c r="M14">
        <v>72768</v>
      </c>
      <c r="N14" t="s">
        <v>19</v>
      </c>
      <c r="O14" s="1">
        <v>21</v>
      </c>
    </row>
    <row r="15" spans="1:20" ht="14.25" customHeight="1" x14ac:dyDescent="0.3">
      <c r="A15" s="4">
        <v>44297</v>
      </c>
      <c r="B15">
        <v>72793</v>
      </c>
      <c r="C15">
        <v>72949</v>
      </c>
      <c r="D15">
        <f t="shared" si="2"/>
        <v>156</v>
      </c>
      <c r="E15" s="1">
        <v>37.24</v>
      </c>
      <c r="F15">
        <v>8</v>
      </c>
      <c r="G15" s="1">
        <f t="shared" si="3"/>
        <v>6.6390697674418613</v>
      </c>
      <c r="H15" s="1">
        <f t="shared" si="4"/>
        <v>0.93600000000000005</v>
      </c>
      <c r="I15" s="1">
        <f t="shared" si="5"/>
        <v>29.664930232558142</v>
      </c>
      <c r="J15" s="5">
        <f t="shared" si="8"/>
        <v>3.7081162790697677</v>
      </c>
      <c r="K15" s="5">
        <f t="shared" si="9"/>
        <v>17.82779207154098</v>
      </c>
      <c r="L15" s="1"/>
      <c r="O15" s="1"/>
    </row>
    <row r="16" spans="1:20" ht="14.25" customHeight="1" x14ac:dyDescent="0.3">
      <c r="A16" s="4">
        <v>44298</v>
      </c>
      <c r="D16">
        <f t="shared" si="2"/>
        <v>0</v>
      </c>
      <c r="E16" s="1"/>
      <c r="G16" s="1">
        <f t="shared" si="3"/>
        <v>0</v>
      </c>
      <c r="H16" s="1">
        <f t="shared" si="4"/>
        <v>0</v>
      </c>
      <c r="I16" s="1">
        <f t="shared" si="5"/>
        <v>0</v>
      </c>
      <c r="J16" s="5"/>
      <c r="K16" s="5"/>
      <c r="L16" s="1"/>
      <c r="O16" s="1"/>
    </row>
    <row r="17" spans="1:15" ht="14.25" customHeight="1" x14ac:dyDescent="0.3">
      <c r="A17" s="4">
        <v>44299</v>
      </c>
      <c r="B17">
        <v>72949</v>
      </c>
      <c r="C17">
        <v>73083</v>
      </c>
      <c r="D17">
        <f t="shared" si="2"/>
        <v>134</v>
      </c>
      <c r="E17" s="1">
        <v>36.049999999999997</v>
      </c>
      <c r="F17">
        <v>9</v>
      </c>
      <c r="G17" s="1">
        <f t="shared" si="3"/>
        <v>5.7027906976744189</v>
      </c>
      <c r="H17" s="1">
        <f t="shared" si="4"/>
        <v>0.80400000000000005</v>
      </c>
      <c r="I17" s="1">
        <f t="shared" si="5"/>
        <v>29.543209302325579</v>
      </c>
      <c r="J17" s="5">
        <f t="shared" ref="J17:J18" si="10">I17/F17</f>
        <v>3.2825788113695089</v>
      </c>
      <c r="K17" s="5">
        <f t="shared" ref="K17:K18" si="11">(G17*100)/E17</f>
        <v>15.819114279263299</v>
      </c>
      <c r="L17" s="1"/>
      <c r="O17" s="1"/>
    </row>
    <row r="18" spans="1:15" ht="14.25" customHeight="1" x14ac:dyDescent="0.3">
      <c r="A18" s="4">
        <v>44300</v>
      </c>
      <c r="B18">
        <v>73168</v>
      </c>
      <c r="C18">
        <v>73229</v>
      </c>
      <c r="D18">
        <f t="shared" si="2"/>
        <v>61</v>
      </c>
      <c r="E18" s="1">
        <v>14.39</v>
      </c>
      <c r="F18">
        <v>5</v>
      </c>
      <c r="G18" s="1">
        <f t="shared" si="3"/>
        <v>2.596046511627907</v>
      </c>
      <c r="H18" s="1">
        <f t="shared" si="4"/>
        <v>0.36599999999999999</v>
      </c>
      <c r="I18" s="1">
        <f t="shared" si="5"/>
        <v>11.427953488372093</v>
      </c>
      <c r="J18" s="5">
        <f t="shared" si="10"/>
        <v>2.2855906976744187</v>
      </c>
      <c r="K18" s="5">
        <f t="shared" si="11"/>
        <v>18.040628989770024</v>
      </c>
      <c r="L18" s="1"/>
      <c r="O18" s="1"/>
    </row>
    <row r="19" spans="1:15" ht="14.25" customHeight="1" x14ac:dyDescent="0.3">
      <c r="A19" s="4">
        <v>44301</v>
      </c>
      <c r="D19">
        <f t="shared" si="2"/>
        <v>0</v>
      </c>
      <c r="E19" s="1"/>
      <c r="G19" s="1">
        <f t="shared" si="3"/>
        <v>0</v>
      </c>
      <c r="H19" s="1">
        <f t="shared" si="4"/>
        <v>0</v>
      </c>
      <c r="I19" s="1">
        <f t="shared" si="5"/>
        <v>0</v>
      </c>
      <c r="J19" s="5"/>
      <c r="K19" s="5"/>
      <c r="L19" s="1"/>
      <c r="M19">
        <v>73238</v>
      </c>
      <c r="N19" t="s">
        <v>20</v>
      </c>
      <c r="O19" s="1">
        <v>20.5</v>
      </c>
    </row>
    <row r="20" spans="1:15" ht="14.25" customHeight="1" x14ac:dyDescent="0.3">
      <c r="A20" s="4">
        <v>44302</v>
      </c>
      <c r="D20">
        <f t="shared" si="2"/>
        <v>0</v>
      </c>
      <c r="E20" s="1"/>
      <c r="G20" s="1">
        <f t="shared" si="3"/>
        <v>0</v>
      </c>
      <c r="H20" s="1">
        <f t="shared" si="4"/>
        <v>0</v>
      </c>
      <c r="I20" s="1">
        <f t="shared" si="5"/>
        <v>0</v>
      </c>
      <c r="J20" s="5"/>
      <c r="K20" s="5"/>
      <c r="L20" s="1"/>
      <c r="O20" s="1"/>
    </row>
    <row r="21" spans="1:15" ht="14.25" customHeight="1" x14ac:dyDescent="0.3">
      <c r="A21" s="4">
        <v>44303</v>
      </c>
      <c r="B21">
        <v>73265</v>
      </c>
      <c r="C21">
        <v>73314</v>
      </c>
      <c r="D21">
        <f t="shared" si="2"/>
        <v>49</v>
      </c>
      <c r="E21" s="1">
        <v>11.13</v>
      </c>
      <c r="F21">
        <v>2</v>
      </c>
      <c r="G21" s="1">
        <f t="shared" ref="G21:G34" si="12">(D21*$Q$4)/$R$3</f>
        <v>2.1765116279069763</v>
      </c>
      <c r="H21" s="1">
        <f t="shared" si="4"/>
        <v>0.29399999999999998</v>
      </c>
      <c r="I21" s="1">
        <f t="shared" si="5"/>
        <v>8.6594883720930245</v>
      </c>
      <c r="J21" s="5">
        <f t="shared" ref="J21:J22" si="13">I21/F21</f>
        <v>4.3297441860465122</v>
      </c>
      <c r="K21" s="5">
        <f t="shared" ref="K21:K22" si="14">(G21*100)/E21</f>
        <v>19.555360538247765</v>
      </c>
      <c r="L21" s="1"/>
      <c r="O21" s="1"/>
    </row>
    <row r="22" spans="1:15" ht="14.25" customHeight="1" x14ac:dyDescent="0.3">
      <c r="A22" s="4">
        <v>44304</v>
      </c>
      <c r="B22">
        <v>73314</v>
      </c>
      <c r="C22">
        <v>73426</v>
      </c>
      <c r="D22">
        <f t="shared" si="2"/>
        <v>112</v>
      </c>
      <c r="E22" s="1">
        <v>24.54</v>
      </c>
      <c r="F22">
        <v>4</v>
      </c>
      <c r="G22" s="1">
        <f t="shared" si="12"/>
        <v>4.9748837209302321</v>
      </c>
      <c r="H22" s="1">
        <f t="shared" si="4"/>
        <v>0.67200000000000004</v>
      </c>
      <c r="I22" s="1">
        <f t="shared" si="5"/>
        <v>18.893116279069766</v>
      </c>
      <c r="J22" s="5">
        <f t="shared" si="13"/>
        <v>4.7232790697674414</v>
      </c>
      <c r="K22" s="5">
        <f t="shared" si="14"/>
        <v>20.272549800041695</v>
      </c>
      <c r="L22" s="1"/>
      <c r="O22" s="1"/>
    </row>
    <row r="23" spans="1:15" ht="14.25" customHeight="1" x14ac:dyDescent="0.3">
      <c r="A23" s="4">
        <v>44305</v>
      </c>
      <c r="D23">
        <f t="shared" si="2"/>
        <v>0</v>
      </c>
      <c r="E23" s="1"/>
      <c r="G23" s="1">
        <f t="shared" si="12"/>
        <v>0</v>
      </c>
      <c r="H23" s="1">
        <f t="shared" si="4"/>
        <v>0</v>
      </c>
      <c r="I23" s="1">
        <f t="shared" si="5"/>
        <v>0</v>
      </c>
      <c r="J23" s="5"/>
      <c r="K23" s="5"/>
      <c r="L23" s="1"/>
      <c r="O23" s="1"/>
    </row>
    <row r="24" spans="1:15" ht="14.25" customHeight="1" x14ac:dyDescent="0.3">
      <c r="A24" s="4">
        <v>44306</v>
      </c>
      <c r="B24">
        <v>73443</v>
      </c>
      <c r="C24">
        <v>73533</v>
      </c>
      <c r="D24">
        <f t="shared" si="2"/>
        <v>90</v>
      </c>
      <c r="E24" s="1">
        <v>23.54</v>
      </c>
      <c r="F24">
        <v>4</v>
      </c>
      <c r="G24" s="1">
        <f t="shared" si="12"/>
        <v>3.9976744186046513</v>
      </c>
      <c r="H24" s="1">
        <f t="shared" si="4"/>
        <v>0.54</v>
      </c>
      <c r="I24" s="1">
        <f t="shared" si="5"/>
        <v>19.002325581395347</v>
      </c>
      <c r="J24" s="5">
        <f t="shared" ref="J24:J26" si="15">I24/F24</f>
        <v>4.7505813953488367</v>
      </c>
      <c r="K24" s="5">
        <f t="shared" ref="K24:K26" si="16">(G24*100)/E24</f>
        <v>16.982474165695205</v>
      </c>
      <c r="L24" s="1"/>
      <c r="O24" s="1"/>
    </row>
    <row r="25" spans="1:15" ht="14.25" customHeight="1" x14ac:dyDescent="0.3">
      <c r="A25" s="4">
        <v>44307</v>
      </c>
      <c r="B25">
        <v>73455</v>
      </c>
      <c r="C25">
        <v>73650</v>
      </c>
      <c r="D25">
        <f t="shared" si="2"/>
        <v>195</v>
      </c>
      <c r="E25" s="1">
        <v>29</v>
      </c>
      <c r="F25">
        <v>7</v>
      </c>
      <c r="G25" s="1">
        <f t="shared" si="12"/>
        <v>8.6616279069767437</v>
      </c>
      <c r="H25" s="1">
        <f t="shared" si="4"/>
        <v>1.17</v>
      </c>
      <c r="I25" s="1">
        <f t="shared" si="5"/>
        <v>19.168372093023258</v>
      </c>
      <c r="J25" s="5">
        <f t="shared" si="15"/>
        <v>2.7383388704318938</v>
      </c>
      <c r="K25" s="5">
        <f t="shared" si="16"/>
        <v>29.867682437850842</v>
      </c>
      <c r="L25" s="1"/>
      <c r="O25" s="1"/>
    </row>
    <row r="26" spans="1:15" ht="14.25" customHeight="1" x14ac:dyDescent="0.3">
      <c r="A26" s="4">
        <v>44308</v>
      </c>
      <c r="B26">
        <v>73655</v>
      </c>
      <c r="C26">
        <v>73720</v>
      </c>
      <c r="D26">
        <f t="shared" si="2"/>
        <v>65</v>
      </c>
      <c r="E26" s="1">
        <v>16.87</v>
      </c>
      <c r="F26">
        <v>5</v>
      </c>
      <c r="G26" s="1">
        <f t="shared" si="12"/>
        <v>2.8872093023255814</v>
      </c>
      <c r="H26" s="1">
        <f t="shared" si="4"/>
        <v>0.39</v>
      </c>
      <c r="I26" s="1">
        <f t="shared" si="5"/>
        <v>13.592790697674419</v>
      </c>
      <c r="J26" s="5">
        <f t="shared" si="15"/>
        <v>2.7185581395348839</v>
      </c>
      <c r="K26" s="5">
        <f t="shared" si="16"/>
        <v>17.114459409161714</v>
      </c>
      <c r="L26" s="1"/>
      <c r="M26">
        <v>73653</v>
      </c>
      <c r="N26" t="s">
        <v>19</v>
      </c>
      <c r="O26" s="1">
        <v>18.2</v>
      </c>
    </row>
    <row r="27" spans="1:15" ht="14.25" customHeight="1" x14ac:dyDescent="0.3">
      <c r="A27" s="4">
        <v>44309</v>
      </c>
      <c r="D27">
        <f t="shared" si="2"/>
        <v>0</v>
      </c>
      <c r="E27" s="1"/>
      <c r="G27" s="1">
        <f t="shared" si="12"/>
        <v>0</v>
      </c>
      <c r="H27" s="1">
        <f t="shared" si="4"/>
        <v>0</v>
      </c>
      <c r="I27" s="1">
        <f t="shared" si="5"/>
        <v>0</v>
      </c>
      <c r="J27" s="5"/>
      <c r="K27" s="5"/>
      <c r="L27" s="1"/>
      <c r="O27" s="1"/>
    </row>
    <row r="28" spans="1:15" ht="14.25" customHeight="1" x14ac:dyDescent="0.3">
      <c r="A28" s="4">
        <v>44310</v>
      </c>
      <c r="D28">
        <f t="shared" si="2"/>
        <v>0</v>
      </c>
      <c r="E28" s="1"/>
      <c r="G28" s="1">
        <f t="shared" si="12"/>
        <v>0</v>
      </c>
      <c r="H28" s="1">
        <f t="shared" si="4"/>
        <v>0</v>
      </c>
      <c r="I28" s="1">
        <f t="shared" si="5"/>
        <v>0</v>
      </c>
      <c r="J28" s="5"/>
      <c r="K28" s="5"/>
      <c r="L28" s="1"/>
      <c r="O28" s="1"/>
    </row>
    <row r="29" spans="1:15" ht="14.25" customHeight="1" x14ac:dyDescent="0.3">
      <c r="A29" s="4">
        <v>44311</v>
      </c>
      <c r="D29">
        <f t="shared" si="2"/>
        <v>0</v>
      </c>
      <c r="E29" s="1"/>
      <c r="G29" s="1">
        <f t="shared" si="12"/>
        <v>0</v>
      </c>
      <c r="H29" s="1">
        <f t="shared" si="4"/>
        <v>0</v>
      </c>
      <c r="I29" s="1">
        <f t="shared" si="5"/>
        <v>0</v>
      </c>
      <c r="J29" s="5"/>
      <c r="K29" s="5"/>
      <c r="L29" s="1"/>
      <c r="O29" s="1"/>
    </row>
    <row r="30" spans="1:15" ht="14.25" customHeight="1" x14ac:dyDescent="0.3">
      <c r="A30" s="4">
        <v>44312</v>
      </c>
      <c r="B30">
        <v>73742</v>
      </c>
      <c r="C30">
        <v>73760</v>
      </c>
      <c r="D30">
        <f t="shared" si="2"/>
        <v>18</v>
      </c>
      <c r="E30" s="1">
        <v>2.73</v>
      </c>
      <c r="F30">
        <v>1</v>
      </c>
      <c r="G30" s="1">
        <f t="shared" si="12"/>
        <v>0.79953488372093018</v>
      </c>
      <c r="H30" s="1">
        <f t="shared" si="4"/>
        <v>0.108</v>
      </c>
      <c r="I30" s="1">
        <f t="shared" si="5"/>
        <v>1.8224651162790697</v>
      </c>
      <c r="J30" s="5">
        <f t="shared" ref="J30:J33" si="17">I30/F30</f>
        <v>1.8224651162790697</v>
      </c>
      <c r="K30" s="5">
        <f t="shared" ref="K30:K33" si="18">(G30*100)/E30</f>
        <v>29.286992077689749</v>
      </c>
      <c r="L30" s="1"/>
      <c r="O30" s="1"/>
    </row>
    <row r="31" spans="1:15" ht="14.25" customHeight="1" x14ac:dyDescent="0.3">
      <c r="A31" s="4">
        <v>44313</v>
      </c>
      <c r="B31">
        <v>73764</v>
      </c>
      <c r="C31">
        <v>73806</v>
      </c>
      <c r="D31">
        <f t="shared" si="2"/>
        <v>42</v>
      </c>
      <c r="E31" s="1">
        <v>12.29</v>
      </c>
      <c r="F31">
        <v>2</v>
      </c>
      <c r="G31" s="1">
        <f t="shared" si="12"/>
        <v>1.8655813953488372</v>
      </c>
      <c r="H31" s="1">
        <f t="shared" si="4"/>
        <v>0.252</v>
      </c>
      <c r="I31" s="1">
        <f t="shared" si="5"/>
        <v>10.172418604651162</v>
      </c>
      <c r="J31" s="5">
        <f t="shared" si="17"/>
        <v>5.0862093023255808</v>
      </c>
      <c r="K31" s="5">
        <f t="shared" si="18"/>
        <v>15.17966961227695</v>
      </c>
      <c r="L31" s="1"/>
      <c r="O31" s="1"/>
    </row>
    <row r="32" spans="1:15" ht="14.25" customHeight="1" x14ac:dyDescent="0.3">
      <c r="A32" s="4">
        <v>44314</v>
      </c>
      <c r="B32">
        <v>73822</v>
      </c>
      <c r="C32">
        <v>73866</v>
      </c>
      <c r="D32">
        <f t="shared" si="2"/>
        <v>44</v>
      </c>
      <c r="E32" s="1">
        <v>8.15</v>
      </c>
      <c r="F32">
        <v>2</v>
      </c>
      <c r="G32" s="1">
        <f t="shared" si="12"/>
        <v>1.9544186046511627</v>
      </c>
      <c r="H32" s="1">
        <f t="shared" si="4"/>
        <v>0.26400000000000001</v>
      </c>
      <c r="I32" s="1">
        <f t="shared" si="5"/>
        <v>5.9315813953488377</v>
      </c>
      <c r="J32" s="5">
        <f t="shared" si="17"/>
        <v>2.9657906976744188</v>
      </c>
      <c r="K32" s="5">
        <f t="shared" si="18"/>
        <v>23.980596376087885</v>
      </c>
      <c r="L32" s="1"/>
      <c r="O32" s="1"/>
    </row>
    <row r="33" spans="1:15" ht="14.25" customHeight="1" x14ac:dyDescent="0.3">
      <c r="A33" s="4">
        <v>44315</v>
      </c>
      <c r="B33">
        <v>73874</v>
      </c>
      <c r="C33">
        <v>73896</v>
      </c>
      <c r="D33">
        <f t="shared" si="2"/>
        <v>22</v>
      </c>
      <c r="E33" s="1">
        <v>7.71</v>
      </c>
      <c r="F33">
        <v>2</v>
      </c>
      <c r="G33" s="1">
        <f t="shared" si="12"/>
        <v>0.97720930232558134</v>
      </c>
      <c r="H33" s="1">
        <f t="shared" si="4"/>
        <v>0.13200000000000001</v>
      </c>
      <c r="I33" s="1">
        <f t="shared" si="5"/>
        <v>6.6007906976744186</v>
      </c>
      <c r="J33" s="5">
        <f t="shared" si="17"/>
        <v>3.3003953488372093</v>
      </c>
      <c r="K33" s="5">
        <f t="shared" si="18"/>
        <v>12.674569420565257</v>
      </c>
      <c r="L33" s="1"/>
      <c r="O33" s="1"/>
    </row>
    <row r="34" spans="1:15" ht="14.25" customHeight="1" x14ac:dyDescent="0.3">
      <c r="A34" s="4">
        <v>44316</v>
      </c>
      <c r="D34">
        <f t="shared" si="2"/>
        <v>0</v>
      </c>
      <c r="E34" s="1"/>
      <c r="G34" s="1">
        <f t="shared" si="12"/>
        <v>0</v>
      </c>
      <c r="H34" s="1">
        <f t="shared" si="4"/>
        <v>0</v>
      </c>
      <c r="I34" s="1">
        <f t="shared" si="5"/>
        <v>0</v>
      </c>
      <c r="J34" s="5"/>
      <c r="K34" s="5"/>
      <c r="L34" s="1"/>
      <c r="O34" s="1"/>
    </row>
    <row r="35" spans="1:15" ht="14.25" customHeight="1" x14ac:dyDescent="0.3">
      <c r="D35" s="2"/>
      <c r="E35" s="2"/>
      <c r="F35" s="2"/>
      <c r="G35" s="3"/>
      <c r="H35" s="3"/>
      <c r="I35" s="3"/>
      <c r="J35" s="2"/>
      <c r="K35" s="2"/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6" width="10.6640625" customWidth="1"/>
    <col min="7" max="9" width="11.5546875" customWidth="1"/>
    <col min="10" max="14" width="10.6640625" customWidth="1"/>
    <col min="15" max="15" width="11.5546875" customWidth="1"/>
    <col min="16" max="20" width="10.6640625" customWidth="1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455</v>
      </c>
      <c r="E3" s="3">
        <f t="shared" si="0"/>
        <v>123.73000000000002</v>
      </c>
      <c r="F3" s="3">
        <f t="shared" si="0"/>
        <v>25</v>
      </c>
      <c r="G3" s="3">
        <f t="shared" si="0"/>
        <v>20.457906976744184</v>
      </c>
      <c r="H3" s="3">
        <f t="shared" si="0"/>
        <v>2.73</v>
      </c>
      <c r="I3" s="3">
        <f t="shared" si="0"/>
        <v>100.54209302325582</v>
      </c>
      <c r="J3" s="3">
        <f t="shared" ref="J3:K3" si="1">AVERAGE(J4:J34)</f>
        <v>3.738479512735327</v>
      </c>
      <c r="K3" s="3">
        <f t="shared" si="1"/>
        <v>17.984403275756083</v>
      </c>
      <c r="M3" s="2"/>
      <c r="N3" s="2"/>
      <c r="O3" s="3">
        <f>SUM(O4:O34)</f>
        <v>40</v>
      </c>
      <c r="Q3">
        <v>1.91</v>
      </c>
      <c r="R3">
        <v>43</v>
      </c>
      <c r="S3">
        <v>5000</v>
      </c>
      <c r="T3">
        <v>30</v>
      </c>
    </row>
    <row r="4" spans="1:20" ht="14.25" customHeight="1" x14ac:dyDescent="0.3">
      <c r="A4" s="4"/>
      <c r="E4" s="1"/>
      <c r="G4" s="1"/>
      <c r="H4" s="1"/>
      <c r="I4" s="1"/>
      <c r="O4" s="1"/>
      <c r="Q4">
        <v>1.99</v>
      </c>
    </row>
    <row r="5" spans="1:20" ht="14.25" customHeight="1" x14ac:dyDescent="0.3">
      <c r="A5" s="4">
        <v>44317</v>
      </c>
      <c r="D5">
        <f t="shared" ref="D5:D34" si="2">C5-B5</f>
        <v>0</v>
      </c>
      <c r="E5" s="1"/>
      <c r="G5" s="1">
        <f t="shared" ref="G5:G17" si="3">(D5*$Q$3)/$R$3</f>
        <v>0</v>
      </c>
      <c r="H5" s="1">
        <f t="shared" ref="H5:H34" si="4">(D5*$T$3)/$S$3</f>
        <v>0</v>
      </c>
      <c r="I5" s="1">
        <f t="shared" ref="I5:I34" si="5">E5-G5-H5</f>
        <v>0</v>
      </c>
      <c r="J5" s="5"/>
      <c r="K5" s="5"/>
      <c r="O5" s="1"/>
    </row>
    <row r="6" spans="1:20" ht="14.25" customHeight="1" x14ac:dyDescent="0.3">
      <c r="A6" s="4">
        <v>44318</v>
      </c>
      <c r="D6">
        <f t="shared" si="2"/>
        <v>0</v>
      </c>
      <c r="E6" s="1"/>
      <c r="G6" s="1">
        <f t="shared" si="3"/>
        <v>0</v>
      </c>
      <c r="H6" s="1">
        <f t="shared" si="4"/>
        <v>0</v>
      </c>
      <c r="I6" s="1">
        <f t="shared" si="5"/>
        <v>0</v>
      </c>
      <c r="J6" s="5"/>
      <c r="K6" s="5"/>
      <c r="O6" s="1"/>
    </row>
    <row r="7" spans="1:20" ht="14.25" customHeight="1" x14ac:dyDescent="0.3">
      <c r="A7" s="4">
        <v>44319</v>
      </c>
      <c r="D7">
        <f t="shared" si="2"/>
        <v>0</v>
      </c>
      <c r="E7" s="1"/>
      <c r="G7" s="1">
        <f t="shared" si="3"/>
        <v>0</v>
      </c>
      <c r="H7" s="1">
        <f t="shared" si="4"/>
        <v>0</v>
      </c>
      <c r="I7" s="1">
        <f t="shared" si="5"/>
        <v>0</v>
      </c>
      <c r="J7" s="5"/>
      <c r="K7" s="5"/>
      <c r="O7" s="1"/>
    </row>
    <row r="8" spans="1:20" ht="14.25" customHeight="1" x14ac:dyDescent="0.3">
      <c r="A8" s="4">
        <v>44320</v>
      </c>
      <c r="B8">
        <v>73957</v>
      </c>
      <c r="C8">
        <v>73993</v>
      </c>
      <c r="D8">
        <f t="shared" si="2"/>
        <v>36</v>
      </c>
      <c r="E8" s="1">
        <v>8.67</v>
      </c>
      <c r="F8">
        <v>3</v>
      </c>
      <c r="G8" s="1">
        <f t="shared" si="3"/>
        <v>1.5990697674418604</v>
      </c>
      <c r="H8" s="1">
        <f t="shared" si="4"/>
        <v>0.216</v>
      </c>
      <c r="I8" s="1">
        <f t="shared" si="5"/>
        <v>6.8549302325581394</v>
      </c>
      <c r="J8" s="5">
        <f t="shared" ref="J8:J11" si="6">I8/F8</f>
        <v>2.2849767441860465</v>
      </c>
      <c r="K8" s="5">
        <f t="shared" ref="K8:K11" si="7">(G8*100)/E8</f>
        <v>18.44371127383922</v>
      </c>
      <c r="O8" s="1"/>
    </row>
    <row r="9" spans="1:20" ht="14.25" customHeight="1" x14ac:dyDescent="0.3">
      <c r="A9" s="4">
        <v>44321</v>
      </c>
      <c r="B9">
        <v>73993</v>
      </c>
      <c r="C9">
        <v>74040</v>
      </c>
      <c r="D9">
        <f t="shared" si="2"/>
        <v>47</v>
      </c>
      <c r="E9" s="1">
        <v>10.85</v>
      </c>
      <c r="F9">
        <v>3</v>
      </c>
      <c r="G9" s="1">
        <f t="shared" si="3"/>
        <v>2.0876744186046512</v>
      </c>
      <c r="H9" s="1">
        <f t="shared" si="4"/>
        <v>0.28199999999999997</v>
      </c>
      <c r="I9" s="1">
        <f t="shared" si="5"/>
        <v>8.4803255813953484</v>
      </c>
      <c r="J9" s="5">
        <f t="shared" si="6"/>
        <v>2.8267751937984493</v>
      </c>
      <c r="K9" s="5">
        <f t="shared" si="7"/>
        <v>19.24123888114886</v>
      </c>
      <c r="O9" s="1"/>
    </row>
    <row r="10" spans="1:20" ht="14.25" customHeight="1" x14ac:dyDescent="0.3">
      <c r="A10" s="4">
        <v>44322</v>
      </c>
      <c r="B10">
        <v>74040</v>
      </c>
      <c r="C10">
        <v>74070</v>
      </c>
      <c r="D10">
        <f t="shared" si="2"/>
        <v>30</v>
      </c>
      <c r="E10" s="1">
        <v>6.52</v>
      </c>
      <c r="F10">
        <v>2</v>
      </c>
      <c r="G10" s="1">
        <f t="shared" si="3"/>
        <v>1.3325581395348836</v>
      </c>
      <c r="H10" s="1">
        <f t="shared" si="4"/>
        <v>0.18</v>
      </c>
      <c r="I10" s="1">
        <f t="shared" si="5"/>
        <v>5.0074418604651161</v>
      </c>
      <c r="J10" s="5">
        <f t="shared" si="6"/>
        <v>2.503720930232558</v>
      </c>
      <c r="K10" s="5">
        <f t="shared" si="7"/>
        <v>20.4380082750749</v>
      </c>
      <c r="L10" s="1"/>
      <c r="M10">
        <v>74046</v>
      </c>
      <c r="N10" t="s">
        <v>19</v>
      </c>
      <c r="O10" s="1">
        <v>20</v>
      </c>
    </row>
    <row r="11" spans="1:20" ht="14.25" customHeight="1" x14ac:dyDescent="0.3">
      <c r="A11" s="4">
        <v>44323</v>
      </c>
      <c r="B11">
        <v>74080</v>
      </c>
      <c r="C11">
        <v>74170</v>
      </c>
      <c r="D11">
        <f t="shared" si="2"/>
        <v>90</v>
      </c>
      <c r="E11" s="1">
        <v>25.38</v>
      </c>
      <c r="F11">
        <v>3</v>
      </c>
      <c r="G11" s="1">
        <f t="shared" si="3"/>
        <v>3.9976744186046513</v>
      </c>
      <c r="H11" s="1">
        <f t="shared" si="4"/>
        <v>0.54</v>
      </c>
      <c r="I11" s="1">
        <f t="shared" si="5"/>
        <v>20.84232558139535</v>
      </c>
      <c r="J11" s="5">
        <f t="shared" si="6"/>
        <v>6.9474418604651165</v>
      </c>
      <c r="K11" s="5">
        <f t="shared" si="7"/>
        <v>15.751278245093189</v>
      </c>
      <c r="L11" s="1"/>
      <c r="O11" s="1"/>
    </row>
    <row r="12" spans="1:20" ht="14.25" customHeight="1" x14ac:dyDescent="0.3">
      <c r="A12" s="4">
        <v>44324</v>
      </c>
      <c r="D12">
        <f t="shared" si="2"/>
        <v>0</v>
      </c>
      <c r="E12" s="1"/>
      <c r="G12" s="1">
        <f t="shared" si="3"/>
        <v>0</v>
      </c>
      <c r="H12" s="1">
        <f t="shared" si="4"/>
        <v>0</v>
      </c>
      <c r="I12" s="1">
        <f t="shared" si="5"/>
        <v>0</v>
      </c>
      <c r="J12" s="5"/>
      <c r="K12" s="5"/>
      <c r="L12" s="1"/>
      <c r="O12" s="1"/>
    </row>
    <row r="13" spans="1:20" ht="14.25" customHeight="1" x14ac:dyDescent="0.3">
      <c r="A13" s="4">
        <v>44325</v>
      </c>
      <c r="D13">
        <f t="shared" si="2"/>
        <v>0</v>
      </c>
      <c r="E13" s="1"/>
      <c r="G13" s="1">
        <f t="shared" si="3"/>
        <v>0</v>
      </c>
      <c r="H13" s="1">
        <f t="shared" si="4"/>
        <v>0</v>
      </c>
      <c r="I13" s="1">
        <f t="shared" si="5"/>
        <v>0</v>
      </c>
      <c r="J13" s="5"/>
      <c r="K13" s="5"/>
      <c r="L13" s="1"/>
      <c r="O13" s="1"/>
    </row>
    <row r="14" spans="1:20" ht="14.25" customHeight="1" x14ac:dyDescent="0.3">
      <c r="A14" s="4">
        <v>44326</v>
      </c>
      <c r="D14">
        <f t="shared" si="2"/>
        <v>0</v>
      </c>
      <c r="E14" s="1"/>
      <c r="G14" s="1">
        <f t="shared" si="3"/>
        <v>0</v>
      </c>
      <c r="H14" s="1">
        <f t="shared" si="4"/>
        <v>0</v>
      </c>
      <c r="I14" s="1">
        <f t="shared" si="5"/>
        <v>0</v>
      </c>
      <c r="J14" s="5"/>
      <c r="K14" s="5"/>
      <c r="L14" s="1"/>
      <c r="O14" s="1"/>
    </row>
    <row r="15" spans="1:20" ht="14.25" customHeight="1" x14ac:dyDescent="0.3">
      <c r="A15" s="4">
        <v>44327</v>
      </c>
      <c r="B15">
        <v>74353</v>
      </c>
      <c r="C15">
        <v>74375</v>
      </c>
      <c r="D15">
        <f t="shared" si="2"/>
        <v>22</v>
      </c>
      <c r="E15" s="1">
        <v>6.25</v>
      </c>
      <c r="F15">
        <v>2</v>
      </c>
      <c r="G15" s="1">
        <f t="shared" si="3"/>
        <v>0.97720930232558134</v>
      </c>
      <c r="H15" s="1">
        <f t="shared" si="4"/>
        <v>0.13200000000000001</v>
      </c>
      <c r="I15" s="1">
        <f t="shared" si="5"/>
        <v>5.1407906976744187</v>
      </c>
      <c r="J15" s="5">
        <f t="shared" ref="J15:J16" si="8">I15/F15</f>
        <v>2.5703953488372093</v>
      </c>
      <c r="K15" s="5">
        <f t="shared" ref="K15:K16" si="9">(G15*100)/E15</f>
        <v>15.635348837209301</v>
      </c>
      <c r="L15" s="1"/>
      <c r="O15" s="1"/>
    </row>
    <row r="16" spans="1:20" ht="14.25" customHeight="1" x14ac:dyDescent="0.3">
      <c r="A16" s="4">
        <v>44328</v>
      </c>
      <c r="B16">
        <v>74385</v>
      </c>
      <c r="C16">
        <v>74482</v>
      </c>
      <c r="D16">
        <f t="shared" si="2"/>
        <v>97</v>
      </c>
      <c r="E16" s="1">
        <v>18.350000000000001</v>
      </c>
      <c r="F16">
        <v>6</v>
      </c>
      <c r="G16" s="1">
        <f t="shared" si="3"/>
        <v>4.3086046511627902</v>
      </c>
      <c r="H16" s="1">
        <f t="shared" si="4"/>
        <v>0.58199999999999996</v>
      </c>
      <c r="I16" s="1">
        <f t="shared" si="5"/>
        <v>13.45939534883721</v>
      </c>
      <c r="J16" s="5">
        <f t="shared" si="8"/>
        <v>2.2432325581395349</v>
      </c>
      <c r="K16" s="5">
        <f t="shared" si="9"/>
        <v>23.4801343387618</v>
      </c>
      <c r="L16" s="1"/>
      <c r="O16" s="1"/>
    </row>
    <row r="17" spans="1:15" ht="14.25" customHeight="1" x14ac:dyDescent="0.3">
      <c r="A17" s="4">
        <v>44329</v>
      </c>
      <c r="D17">
        <f t="shared" si="2"/>
        <v>0</v>
      </c>
      <c r="E17" s="1"/>
      <c r="G17" s="1">
        <f t="shared" si="3"/>
        <v>0</v>
      </c>
      <c r="H17" s="1">
        <f t="shared" si="4"/>
        <v>0</v>
      </c>
      <c r="I17" s="1">
        <f t="shared" si="5"/>
        <v>0</v>
      </c>
      <c r="J17" s="5"/>
      <c r="K17" s="5"/>
      <c r="L17" s="1"/>
      <c r="M17">
        <v>64520</v>
      </c>
      <c r="N17" t="s">
        <v>19</v>
      </c>
      <c r="O17" s="1">
        <v>20</v>
      </c>
    </row>
    <row r="18" spans="1:15" ht="14.25" customHeight="1" x14ac:dyDescent="0.3">
      <c r="A18" s="4">
        <v>44330</v>
      </c>
      <c r="B18">
        <v>74535</v>
      </c>
      <c r="C18">
        <v>74668</v>
      </c>
      <c r="D18">
        <f t="shared" si="2"/>
        <v>133</v>
      </c>
      <c r="E18" s="1">
        <v>47.71</v>
      </c>
      <c r="F18">
        <v>6</v>
      </c>
      <c r="G18" s="1">
        <f t="shared" ref="G18:G35" si="10">(D18*$Q$4)/$R$3</f>
        <v>6.1551162790697678</v>
      </c>
      <c r="H18" s="1">
        <f t="shared" si="4"/>
        <v>0.79800000000000004</v>
      </c>
      <c r="I18" s="1">
        <f t="shared" si="5"/>
        <v>40.756883720930233</v>
      </c>
      <c r="J18" s="5">
        <f>I18/F18</f>
        <v>6.7928139534883725</v>
      </c>
      <c r="K18" s="5">
        <f>(G18*100)/E18</f>
        <v>12.901103079165306</v>
      </c>
      <c r="L18" s="1"/>
      <c r="O18" s="1"/>
    </row>
    <row r="19" spans="1:15" ht="14.25" customHeight="1" x14ac:dyDescent="0.3">
      <c r="A19" s="4">
        <v>44331</v>
      </c>
      <c r="D19">
        <f t="shared" si="2"/>
        <v>0</v>
      </c>
      <c r="E19" s="1"/>
      <c r="G19" s="1">
        <f t="shared" si="10"/>
        <v>0</v>
      </c>
      <c r="H19" s="1">
        <f t="shared" si="4"/>
        <v>0</v>
      </c>
      <c r="I19" s="1">
        <f t="shared" si="5"/>
        <v>0</v>
      </c>
      <c r="J19" s="5"/>
      <c r="K19" s="5"/>
      <c r="L19" s="1"/>
      <c r="O19" s="1"/>
    </row>
    <row r="20" spans="1:15" ht="14.25" customHeight="1" x14ac:dyDescent="0.3">
      <c r="A20" s="4">
        <v>44332</v>
      </c>
      <c r="D20">
        <f t="shared" si="2"/>
        <v>0</v>
      </c>
      <c r="E20" s="1"/>
      <c r="G20" s="1">
        <f t="shared" si="10"/>
        <v>0</v>
      </c>
      <c r="H20" s="1">
        <f t="shared" si="4"/>
        <v>0</v>
      </c>
      <c r="I20" s="1">
        <f t="shared" si="5"/>
        <v>0</v>
      </c>
      <c r="J20" s="5"/>
      <c r="K20" s="5"/>
      <c r="L20" s="1"/>
      <c r="O20" s="1"/>
    </row>
    <row r="21" spans="1:15" ht="14.25" customHeight="1" x14ac:dyDescent="0.3">
      <c r="A21" s="4">
        <v>44333</v>
      </c>
      <c r="D21">
        <f t="shared" si="2"/>
        <v>0</v>
      </c>
      <c r="E21" s="1"/>
      <c r="G21" s="1">
        <f t="shared" si="10"/>
        <v>0</v>
      </c>
      <c r="H21" s="1">
        <f t="shared" si="4"/>
        <v>0</v>
      </c>
      <c r="I21" s="1">
        <f t="shared" si="5"/>
        <v>0</v>
      </c>
      <c r="J21" s="5"/>
      <c r="K21" s="5"/>
      <c r="L21" s="1"/>
      <c r="O21" s="1"/>
    </row>
    <row r="22" spans="1:15" ht="14.25" customHeight="1" x14ac:dyDescent="0.3">
      <c r="A22" s="4">
        <v>44334</v>
      </c>
      <c r="D22">
        <f t="shared" si="2"/>
        <v>0</v>
      </c>
      <c r="E22" s="1"/>
      <c r="G22" s="1">
        <f t="shared" si="10"/>
        <v>0</v>
      </c>
      <c r="H22" s="1">
        <f t="shared" si="4"/>
        <v>0</v>
      </c>
      <c r="I22" s="1">
        <f t="shared" si="5"/>
        <v>0</v>
      </c>
      <c r="J22" s="5"/>
      <c r="K22" s="5"/>
      <c r="L22" s="1"/>
      <c r="O22" s="1"/>
    </row>
    <row r="23" spans="1:15" ht="14.25" customHeight="1" x14ac:dyDescent="0.3">
      <c r="A23" s="4">
        <v>44335</v>
      </c>
      <c r="D23">
        <f t="shared" si="2"/>
        <v>0</v>
      </c>
      <c r="E23" s="1"/>
      <c r="G23" s="1">
        <f t="shared" si="10"/>
        <v>0</v>
      </c>
      <c r="H23" s="1">
        <f t="shared" si="4"/>
        <v>0</v>
      </c>
      <c r="I23" s="1">
        <f t="shared" si="5"/>
        <v>0</v>
      </c>
      <c r="J23" s="5"/>
      <c r="K23" s="5"/>
      <c r="L23" s="1"/>
      <c r="O23" s="1"/>
    </row>
    <row r="24" spans="1:15" ht="14.25" customHeight="1" x14ac:dyDescent="0.3">
      <c r="A24" s="4">
        <v>44336</v>
      </c>
      <c r="D24">
        <f t="shared" si="2"/>
        <v>0</v>
      </c>
      <c r="E24" s="1"/>
      <c r="G24" s="1">
        <f t="shared" si="10"/>
        <v>0</v>
      </c>
      <c r="H24" s="1">
        <f t="shared" si="4"/>
        <v>0</v>
      </c>
      <c r="I24" s="1">
        <f t="shared" si="5"/>
        <v>0</v>
      </c>
      <c r="J24" s="5"/>
      <c r="K24" s="5"/>
      <c r="L24" s="1"/>
      <c r="O24" s="1"/>
    </row>
    <row r="25" spans="1:15" ht="14.25" customHeight="1" x14ac:dyDescent="0.3">
      <c r="A25" s="4">
        <v>44337</v>
      </c>
      <c r="D25">
        <f t="shared" si="2"/>
        <v>0</v>
      </c>
      <c r="E25" s="1"/>
      <c r="G25" s="1">
        <f t="shared" si="10"/>
        <v>0</v>
      </c>
      <c r="H25" s="1">
        <f t="shared" si="4"/>
        <v>0</v>
      </c>
      <c r="I25" s="1">
        <f t="shared" si="5"/>
        <v>0</v>
      </c>
      <c r="J25" s="5"/>
      <c r="K25" s="5"/>
      <c r="L25" s="1"/>
      <c r="O25" s="1"/>
    </row>
    <row r="26" spans="1:15" ht="14.25" customHeight="1" x14ac:dyDescent="0.3">
      <c r="A26" s="4">
        <v>44338</v>
      </c>
      <c r="D26">
        <f t="shared" si="2"/>
        <v>0</v>
      </c>
      <c r="E26" s="1"/>
      <c r="G26" s="1">
        <f t="shared" si="10"/>
        <v>0</v>
      </c>
      <c r="H26" s="1">
        <f t="shared" si="4"/>
        <v>0</v>
      </c>
      <c r="I26" s="1">
        <f t="shared" si="5"/>
        <v>0</v>
      </c>
      <c r="J26" s="5"/>
      <c r="K26" s="5"/>
      <c r="L26" s="1"/>
      <c r="O26" s="1"/>
    </row>
    <row r="27" spans="1:15" ht="14.25" customHeight="1" x14ac:dyDescent="0.3">
      <c r="A27" s="4">
        <v>44339</v>
      </c>
      <c r="D27">
        <f t="shared" si="2"/>
        <v>0</v>
      </c>
      <c r="E27" s="1"/>
      <c r="G27" s="1">
        <f t="shared" si="10"/>
        <v>0</v>
      </c>
      <c r="H27" s="1">
        <f t="shared" si="4"/>
        <v>0</v>
      </c>
      <c r="I27" s="1">
        <f t="shared" si="5"/>
        <v>0</v>
      </c>
      <c r="J27" s="5"/>
      <c r="K27" s="5"/>
      <c r="L27" s="1"/>
      <c r="O27" s="1"/>
    </row>
    <row r="28" spans="1:15" ht="14.25" customHeight="1" x14ac:dyDescent="0.3">
      <c r="A28" s="4">
        <v>44340</v>
      </c>
      <c r="D28">
        <f t="shared" si="2"/>
        <v>0</v>
      </c>
      <c r="E28" s="1"/>
      <c r="G28" s="1">
        <f t="shared" si="10"/>
        <v>0</v>
      </c>
      <c r="H28" s="1">
        <f t="shared" si="4"/>
        <v>0</v>
      </c>
      <c r="I28" s="1">
        <f t="shared" si="5"/>
        <v>0</v>
      </c>
      <c r="J28" s="5"/>
      <c r="K28" s="5"/>
      <c r="L28" s="1"/>
      <c r="O28" s="1"/>
    </row>
    <row r="29" spans="1:15" ht="14.25" customHeight="1" x14ac:dyDescent="0.3">
      <c r="A29" s="4">
        <v>44341</v>
      </c>
      <c r="D29">
        <f t="shared" si="2"/>
        <v>0</v>
      </c>
      <c r="E29" s="1"/>
      <c r="G29" s="1">
        <f t="shared" si="10"/>
        <v>0</v>
      </c>
      <c r="H29" s="1">
        <f t="shared" si="4"/>
        <v>0</v>
      </c>
      <c r="I29" s="1">
        <f t="shared" si="5"/>
        <v>0</v>
      </c>
      <c r="J29" s="5"/>
      <c r="K29" s="5"/>
      <c r="L29" s="1"/>
      <c r="O29" s="1"/>
    </row>
    <row r="30" spans="1:15" ht="14.25" customHeight="1" x14ac:dyDescent="0.3">
      <c r="A30" s="4">
        <v>44342</v>
      </c>
      <c r="D30">
        <f t="shared" si="2"/>
        <v>0</v>
      </c>
      <c r="E30" s="1"/>
      <c r="G30" s="1">
        <f t="shared" si="10"/>
        <v>0</v>
      </c>
      <c r="H30" s="1">
        <f t="shared" si="4"/>
        <v>0</v>
      </c>
      <c r="I30" s="1">
        <f t="shared" si="5"/>
        <v>0</v>
      </c>
      <c r="J30" s="5"/>
      <c r="K30" s="5"/>
      <c r="L30" s="1"/>
      <c r="O30" s="1"/>
    </row>
    <row r="31" spans="1:15" ht="14.25" customHeight="1" x14ac:dyDescent="0.3">
      <c r="A31" s="4">
        <v>44343</v>
      </c>
      <c r="D31">
        <f t="shared" si="2"/>
        <v>0</v>
      </c>
      <c r="E31" s="1"/>
      <c r="G31" s="1">
        <f t="shared" si="10"/>
        <v>0</v>
      </c>
      <c r="H31" s="1">
        <f t="shared" si="4"/>
        <v>0</v>
      </c>
      <c r="I31" s="1">
        <f t="shared" si="5"/>
        <v>0</v>
      </c>
      <c r="J31" s="5"/>
      <c r="K31" s="5"/>
      <c r="L31" s="1"/>
      <c r="O31" s="1"/>
    </row>
    <row r="32" spans="1:15" ht="14.25" customHeight="1" x14ac:dyDescent="0.3">
      <c r="A32" s="4">
        <v>44344</v>
      </c>
      <c r="D32">
        <f t="shared" si="2"/>
        <v>0</v>
      </c>
      <c r="E32" s="1"/>
      <c r="G32" s="1">
        <f t="shared" si="10"/>
        <v>0</v>
      </c>
      <c r="H32" s="1">
        <f t="shared" si="4"/>
        <v>0</v>
      </c>
      <c r="I32" s="1">
        <f t="shared" si="5"/>
        <v>0</v>
      </c>
      <c r="J32" s="5"/>
      <c r="K32" s="5"/>
      <c r="L32" s="1"/>
      <c r="O32" s="1"/>
    </row>
    <row r="33" spans="1:15" ht="14.25" customHeight="1" x14ac:dyDescent="0.3">
      <c r="A33" s="4">
        <v>44345</v>
      </c>
      <c r="D33">
        <f t="shared" si="2"/>
        <v>0</v>
      </c>
      <c r="E33" s="1"/>
      <c r="G33" s="1">
        <f t="shared" si="10"/>
        <v>0</v>
      </c>
      <c r="H33" s="1">
        <f t="shared" si="4"/>
        <v>0</v>
      </c>
      <c r="I33" s="1">
        <f t="shared" si="5"/>
        <v>0</v>
      </c>
      <c r="J33" s="5"/>
      <c r="K33" s="5"/>
      <c r="L33" s="1"/>
      <c r="O33" s="1"/>
    </row>
    <row r="34" spans="1:15" ht="14.25" customHeight="1" x14ac:dyDescent="0.3">
      <c r="A34" s="4">
        <v>44346</v>
      </c>
      <c r="D34">
        <f t="shared" si="2"/>
        <v>0</v>
      </c>
      <c r="E34" s="1"/>
      <c r="G34" s="1">
        <f t="shared" si="10"/>
        <v>0</v>
      </c>
      <c r="H34" s="1">
        <f t="shared" si="4"/>
        <v>0</v>
      </c>
      <c r="I34" s="1">
        <f t="shared" si="5"/>
        <v>0</v>
      </c>
      <c r="J34" s="5"/>
      <c r="K34" s="5"/>
      <c r="L34" s="1"/>
      <c r="O34" s="1"/>
    </row>
    <row r="35" spans="1:15" ht="14.25" customHeight="1" x14ac:dyDescent="0.3">
      <c r="A35" s="4">
        <v>44347</v>
      </c>
      <c r="D35" s="2"/>
      <c r="E35" s="2"/>
      <c r="F35" s="2"/>
      <c r="G35" s="1">
        <f t="shared" si="10"/>
        <v>0</v>
      </c>
      <c r="H35" s="3"/>
      <c r="I35" s="3"/>
      <c r="J35" s="5"/>
      <c r="K35" s="5"/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730C-7998-4FFA-90BD-859BD224B223}">
  <dimension ref="A1:T100"/>
  <sheetViews>
    <sheetView workbookViewId="0">
      <pane ySplit="3" topLeftCell="A18" activePane="bottomLeft" state="frozen"/>
      <selection pane="bottomLeft" activeCell="J36" sqref="J36"/>
    </sheetView>
  </sheetViews>
  <sheetFormatPr baseColWidth="10" defaultColWidth="14.44140625" defaultRowHeight="15" customHeight="1" x14ac:dyDescent="0.3"/>
  <cols>
    <col min="1" max="6" width="10.6640625" customWidth="1"/>
    <col min="7" max="9" width="11.5546875" customWidth="1"/>
    <col min="10" max="14" width="10.6640625" customWidth="1"/>
    <col min="15" max="15" width="11.5546875" customWidth="1"/>
    <col min="16" max="20" width="10.6640625" customWidth="1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1337.9</v>
      </c>
      <c r="E3" s="3">
        <f t="shared" si="0"/>
        <v>442.97</v>
      </c>
      <c r="F3" s="3">
        <f t="shared" si="0"/>
        <v>73.5</v>
      </c>
      <c r="G3" s="3">
        <f t="shared" si="0"/>
        <v>72.801540041067767</v>
      </c>
      <c r="H3" s="3">
        <f t="shared" si="0"/>
        <v>8.0274000000000001</v>
      </c>
      <c r="I3" s="3">
        <f t="shared" si="0"/>
        <v>362.1410599589322</v>
      </c>
      <c r="J3" s="3">
        <f t="shared" ref="J3:K3" si="1">AVERAGE(J4:J34)</f>
        <v>4.984564152262168</v>
      </c>
      <c r="K3" s="3">
        <f t="shared" si="1"/>
        <v>16.860094320560464</v>
      </c>
      <c r="M3" s="2"/>
      <c r="N3" s="2"/>
      <c r="O3" s="3">
        <f>SUM(O4:O35)</f>
        <v>191</v>
      </c>
      <c r="P3" s="7">
        <f>O16/P16</f>
        <v>5.4414784394250515E-2</v>
      </c>
      <c r="Q3">
        <v>2.5499999999999998</v>
      </c>
      <c r="R3">
        <v>43</v>
      </c>
      <c r="S3">
        <v>5000</v>
      </c>
      <c r="T3">
        <v>30</v>
      </c>
    </row>
    <row r="4" spans="1:20" ht="14.25" customHeight="1" x14ac:dyDescent="0.3">
      <c r="A4" s="4"/>
      <c r="E4" s="1"/>
      <c r="G4" s="1">
        <f t="shared" ref="G4:G35" si="2">D4*$P$3</f>
        <v>0</v>
      </c>
      <c r="H4" s="1"/>
      <c r="I4" s="1"/>
      <c r="O4" s="1"/>
    </row>
    <row r="5" spans="1:20" ht="14.25" customHeight="1" x14ac:dyDescent="0.3">
      <c r="A5" s="4">
        <v>44317</v>
      </c>
      <c r="D5">
        <f t="shared" ref="D5:D35" si="3">C5-B5</f>
        <v>0</v>
      </c>
      <c r="E5" s="1"/>
      <c r="G5" s="1">
        <f t="shared" si="2"/>
        <v>0</v>
      </c>
      <c r="H5" s="1">
        <f t="shared" ref="H5:H34" si="4">(D5*$T$3)/$S$3</f>
        <v>0</v>
      </c>
      <c r="I5" s="1">
        <f t="shared" ref="I5:I34" si="5">E5-G5-H5</f>
        <v>0</v>
      </c>
      <c r="J5" s="5"/>
      <c r="K5" s="5"/>
      <c r="O5" s="1"/>
    </row>
    <row r="6" spans="1:20" ht="14.25" customHeight="1" x14ac:dyDescent="0.3">
      <c r="A6" s="4">
        <v>44318</v>
      </c>
      <c r="D6">
        <v>13</v>
      </c>
      <c r="E6" s="1">
        <v>5.94</v>
      </c>
      <c r="F6">
        <v>1</v>
      </c>
      <c r="G6" s="1">
        <f t="shared" si="2"/>
        <v>0.70739219712525669</v>
      </c>
      <c r="H6" s="1">
        <f t="shared" si="4"/>
        <v>7.8E-2</v>
      </c>
      <c r="I6" s="1">
        <f t="shared" si="5"/>
        <v>5.1546078028747431</v>
      </c>
      <c r="J6" s="5">
        <f t="shared" ref="J6:J9" si="6">I6/F6</f>
        <v>5.1546078028747431</v>
      </c>
      <c r="K6" s="5">
        <f t="shared" ref="K6:K9" si="7">(G6*100)/E6</f>
        <v>11.908959547563242</v>
      </c>
      <c r="O6" s="1"/>
    </row>
    <row r="7" spans="1:20" ht="14.25" customHeight="1" x14ac:dyDescent="0.3">
      <c r="A7" s="4">
        <v>44319</v>
      </c>
      <c r="D7">
        <f t="shared" si="3"/>
        <v>0</v>
      </c>
      <c r="E7" s="1"/>
      <c r="G7" s="1">
        <f t="shared" si="2"/>
        <v>0</v>
      </c>
      <c r="H7" s="1">
        <f t="shared" si="4"/>
        <v>0</v>
      </c>
      <c r="I7" s="1">
        <f t="shared" si="5"/>
        <v>0</v>
      </c>
      <c r="J7" s="5"/>
      <c r="K7" s="5"/>
      <c r="O7" s="1"/>
    </row>
    <row r="8" spans="1:20" ht="14.25" customHeight="1" x14ac:dyDescent="0.3">
      <c r="A8" s="4">
        <v>44320</v>
      </c>
      <c r="D8">
        <f t="shared" si="3"/>
        <v>0</v>
      </c>
      <c r="E8" s="1"/>
      <c r="G8" s="1">
        <f t="shared" si="2"/>
        <v>0</v>
      </c>
      <c r="H8" s="1">
        <f t="shared" si="4"/>
        <v>0</v>
      </c>
      <c r="I8" s="1">
        <f t="shared" si="5"/>
        <v>0</v>
      </c>
      <c r="J8" s="5"/>
      <c r="K8" s="5"/>
      <c r="O8" s="1"/>
    </row>
    <row r="9" spans="1:20" ht="14.25" customHeight="1" x14ac:dyDescent="0.3">
      <c r="A9" s="4">
        <v>44321</v>
      </c>
      <c r="D9">
        <v>29.9</v>
      </c>
      <c r="E9" s="1">
        <v>13.73</v>
      </c>
      <c r="F9">
        <v>2</v>
      </c>
      <c r="G9" s="1">
        <f t="shared" si="2"/>
        <v>1.6270020533880902</v>
      </c>
      <c r="H9" s="1">
        <f t="shared" si="4"/>
        <v>0.1794</v>
      </c>
      <c r="I9" s="1">
        <f t="shared" si="5"/>
        <v>11.923597946611912</v>
      </c>
      <c r="J9" s="5">
        <f t="shared" si="6"/>
        <v>5.9617989733059558</v>
      </c>
      <c r="K9" s="5">
        <f t="shared" si="7"/>
        <v>11.849978538879025</v>
      </c>
      <c r="O9" s="1"/>
    </row>
    <row r="10" spans="1:20" ht="14.25" customHeight="1" x14ac:dyDescent="0.3">
      <c r="A10" s="4">
        <v>44322</v>
      </c>
      <c r="B10">
        <v>93283</v>
      </c>
      <c r="C10">
        <v>93345</v>
      </c>
      <c r="D10">
        <f t="shared" si="3"/>
        <v>62</v>
      </c>
      <c r="E10" s="1">
        <v>28.46</v>
      </c>
      <c r="F10">
        <v>4</v>
      </c>
      <c r="G10" s="1">
        <f t="shared" si="2"/>
        <v>3.3737166324435321</v>
      </c>
      <c r="H10" s="1">
        <f t="shared" si="4"/>
        <v>0.372</v>
      </c>
      <c r="I10" s="1">
        <f t="shared" si="5"/>
        <v>24.714283367556469</v>
      </c>
      <c r="J10" s="5">
        <f t="shared" ref="J10:J27" si="8">I10/F10</f>
        <v>6.1785708418891172</v>
      </c>
      <c r="K10" s="5">
        <f>(G10*100)/E10</f>
        <v>11.854239748571793</v>
      </c>
      <c r="L10" s="1"/>
      <c r="M10">
        <v>93283</v>
      </c>
      <c r="N10" t="s">
        <v>21</v>
      </c>
      <c r="O10" s="1">
        <v>21.5</v>
      </c>
    </row>
    <row r="11" spans="1:20" ht="14.25" customHeight="1" x14ac:dyDescent="0.3">
      <c r="A11" s="4">
        <v>44323</v>
      </c>
      <c r="D11">
        <f t="shared" si="3"/>
        <v>0</v>
      </c>
      <c r="E11" s="1"/>
      <c r="G11" s="1">
        <f t="shared" si="2"/>
        <v>0</v>
      </c>
      <c r="H11" s="1">
        <f t="shared" si="4"/>
        <v>0</v>
      </c>
      <c r="I11" s="1">
        <f t="shared" si="5"/>
        <v>0</v>
      </c>
      <c r="J11" s="5"/>
      <c r="K11" s="5"/>
      <c r="L11" s="1"/>
      <c r="M11">
        <v>93388</v>
      </c>
      <c r="N11" t="s">
        <v>19</v>
      </c>
      <c r="O11" s="1">
        <v>26</v>
      </c>
    </row>
    <row r="12" spans="1:20" ht="14.25" customHeight="1" x14ac:dyDescent="0.3">
      <c r="A12" s="4">
        <v>44324</v>
      </c>
      <c r="B12">
        <v>93620</v>
      </c>
      <c r="C12">
        <v>93647</v>
      </c>
      <c r="D12">
        <f t="shared" si="3"/>
        <v>27</v>
      </c>
      <c r="E12" s="1">
        <v>11.14</v>
      </c>
      <c r="F12">
        <v>1.5</v>
      </c>
      <c r="G12" s="1">
        <f t="shared" si="2"/>
        <v>1.469199178644764</v>
      </c>
      <c r="H12" s="1">
        <f t="shared" si="4"/>
        <v>0.16200000000000001</v>
      </c>
      <c r="I12" s="1">
        <f t="shared" si="5"/>
        <v>9.5088008213552353</v>
      </c>
      <c r="J12" s="5">
        <f t="shared" si="8"/>
        <v>6.3392005475701572</v>
      </c>
      <c r="K12" s="5">
        <f t="shared" ref="K12:K27" si="9">(G12*100)/E12</f>
        <v>13.188502501299496</v>
      </c>
      <c r="L12" s="1"/>
      <c r="O12" s="1"/>
    </row>
    <row r="13" spans="1:20" ht="14.25" customHeight="1" x14ac:dyDescent="0.3">
      <c r="A13" s="4">
        <v>44325</v>
      </c>
      <c r="D13">
        <f t="shared" si="3"/>
        <v>0</v>
      </c>
      <c r="E13" s="1"/>
      <c r="G13" s="1">
        <f t="shared" si="2"/>
        <v>0</v>
      </c>
      <c r="H13" s="1">
        <f t="shared" si="4"/>
        <v>0</v>
      </c>
      <c r="I13" s="1">
        <f t="shared" si="5"/>
        <v>0</v>
      </c>
      <c r="J13" s="5"/>
      <c r="K13" s="5"/>
      <c r="L13" s="1"/>
      <c r="O13" s="1"/>
    </row>
    <row r="14" spans="1:20" ht="14.25" customHeight="1" x14ac:dyDescent="0.3">
      <c r="A14" s="4">
        <v>44326</v>
      </c>
      <c r="B14">
        <v>93652</v>
      </c>
      <c r="C14">
        <v>93731</v>
      </c>
      <c r="D14">
        <f t="shared" si="3"/>
        <v>79</v>
      </c>
      <c r="E14" s="1">
        <v>28.05</v>
      </c>
      <c r="F14">
        <v>4.5</v>
      </c>
      <c r="G14" s="1">
        <f t="shared" si="2"/>
        <v>4.2987679671457908</v>
      </c>
      <c r="H14" s="1">
        <f t="shared" si="4"/>
        <v>0.47399999999999998</v>
      </c>
      <c r="I14" s="1">
        <f t="shared" si="5"/>
        <v>23.277232032854211</v>
      </c>
      <c r="J14" s="5">
        <f t="shared" si="8"/>
        <v>5.1727182295231584</v>
      </c>
      <c r="K14" s="5">
        <f t="shared" si="9"/>
        <v>15.325375996954691</v>
      </c>
      <c r="L14" s="1"/>
      <c r="O14" s="1"/>
    </row>
    <row r="15" spans="1:20" ht="14.25" customHeight="1" x14ac:dyDescent="0.3">
      <c r="A15" s="4">
        <v>44327</v>
      </c>
      <c r="B15">
        <v>93731</v>
      </c>
      <c r="C15">
        <v>93800</v>
      </c>
      <c r="D15">
        <f t="shared" si="3"/>
        <v>69</v>
      </c>
      <c r="E15" s="1">
        <v>22.72</v>
      </c>
      <c r="F15">
        <v>4.5</v>
      </c>
      <c r="G15" s="1">
        <f t="shared" si="2"/>
        <v>3.7546201232032854</v>
      </c>
      <c r="H15" s="1">
        <f t="shared" si="4"/>
        <v>0.41399999999999998</v>
      </c>
      <c r="I15" s="1">
        <f t="shared" si="5"/>
        <v>18.551379876796712</v>
      </c>
      <c r="J15" s="5">
        <f t="shared" si="8"/>
        <v>4.1225288615103803</v>
      </c>
      <c r="K15" s="5">
        <f t="shared" si="9"/>
        <v>16.525616739451081</v>
      </c>
      <c r="L15" s="1"/>
      <c r="O15" s="1"/>
    </row>
    <row r="16" spans="1:20" ht="14.25" customHeight="1" x14ac:dyDescent="0.3">
      <c r="A16" s="4">
        <v>44328</v>
      </c>
      <c r="B16">
        <v>93800</v>
      </c>
      <c r="C16">
        <v>93875</v>
      </c>
      <c r="D16">
        <f t="shared" si="3"/>
        <v>75</v>
      </c>
      <c r="E16" s="1">
        <v>22.58</v>
      </c>
      <c r="F16">
        <v>4.5</v>
      </c>
      <c r="G16" s="1">
        <f t="shared" si="2"/>
        <v>4.0811088295687883</v>
      </c>
      <c r="H16" s="1">
        <f t="shared" si="4"/>
        <v>0.45</v>
      </c>
      <c r="I16" s="1">
        <f t="shared" si="5"/>
        <v>18.048891170431212</v>
      </c>
      <c r="J16" s="5">
        <f t="shared" si="8"/>
        <v>4.0108647045402694</v>
      </c>
      <c r="K16" s="5">
        <f t="shared" si="9"/>
        <v>18.073998359472046</v>
      </c>
      <c r="L16" s="1"/>
      <c r="M16">
        <v>93875</v>
      </c>
      <c r="N16" t="s">
        <v>19</v>
      </c>
      <c r="O16" s="1">
        <v>26.5</v>
      </c>
      <c r="P16">
        <v>487</v>
      </c>
    </row>
    <row r="17" spans="1:16" ht="14.25" customHeight="1" x14ac:dyDescent="0.3">
      <c r="A17" s="4">
        <v>44329</v>
      </c>
      <c r="B17">
        <v>93878</v>
      </c>
      <c r="C17">
        <v>94000</v>
      </c>
      <c r="D17">
        <f t="shared" si="3"/>
        <v>122</v>
      </c>
      <c r="E17" s="1">
        <v>39.42</v>
      </c>
      <c r="F17">
        <v>6</v>
      </c>
      <c r="G17" s="1">
        <f t="shared" si="2"/>
        <v>6.6386036960985626</v>
      </c>
      <c r="H17" s="1">
        <f t="shared" si="4"/>
        <v>0.73199999999999998</v>
      </c>
      <c r="I17" s="1">
        <f t="shared" si="5"/>
        <v>32.049396303901439</v>
      </c>
      <c r="J17" s="5">
        <f t="shared" si="8"/>
        <v>5.3415660506502398</v>
      </c>
      <c r="K17" s="5">
        <f t="shared" si="9"/>
        <v>16.840699381274892</v>
      </c>
      <c r="L17" s="1"/>
      <c r="O17" s="1"/>
    </row>
    <row r="18" spans="1:16" ht="14.25" customHeight="1" x14ac:dyDescent="0.3">
      <c r="A18" s="4">
        <v>44330</v>
      </c>
      <c r="B18">
        <v>94000</v>
      </c>
      <c r="C18">
        <v>94089</v>
      </c>
      <c r="D18">
        <f t="shared" si="3"/>
        <v>89</v>
      </c>
      <c r="E18" s="1">
        <v>24.92</v>
      </c>
      <c r="F18">
        <v>4</v>
      </c>
      <c r="G18" s="1">
        <f t="shared" ref="G18:G33" si="10">D18*$P$3</f>
        <v>4.8429158110882957</v>
      </c>
      <c r="H18" s="1">
        <f t="shared" si="4"/>
        <v>0.53400000000000003</v>
      </c>
      <c r="I18" s="1">
        <f t="shared" si="5"/>
        <v>19.543084188911706</v>
      </c>
      <c r="J18" s="5">
        <f t="shared" si="8"/>
        <v>4.8857710472279265</v>
      </c>
      <c r="K18" s="5">
        <f t="shared" si="9"/>
        <v>19.433851569375182</v>
      </c>
      <c r="L18" s="1"/>
      <c r="O18" s="1"/>
    </row>
    <row r="19" spans="1:16" ht="14.25" customHeight="1" x14ac:dyDescent="0.3">
      <c r="A19" s="4">
        <v>44331</v>
      </c>
      <c r="D19">
        <f t="shared" si="3"/>
        <v>0</v>
      </c>
      <c r="E19" s="1"/>
      <c r="G19" s="1">
        <f t="shared" si="2"/>
        <v>0</v>
      </c>
      <c r="H19" s="1">
        <f t="shared" si="4"/>
        <v>0</v>
      </c>
      <c r="I19" s="1">
        <f t="shared" si="5"/>
        <v>0</v>
      </c>
      <c r="J19" s="5"/>
      <c r="K19" s="5"/>
      <c r="L19" s="1"/>
      <c r="O19" s="1"/>
    </row>
    <row r="20" spans="1:16" ht="14.25" customHeight="1" x14ac:dyDescent="0.3">
      <c r="A20" s="4">
        <v>44332</v>
      </c>
      <c r="D20">
        <f t="shared" si="3"/>
        <v>0</v>
      </c>
      <c r="E20" s="1"/>
      <c r="G20" s="1">
        <f t="shared" si="2"/>
        <v>0</v>
      </c>
      <c r="H20" s="1">
        <f t="shared" si="4"/>
        <v>0</v>
      </c>
      <c r="I20" s="1">
        <f t="shared" si="5"/>
        <v>0</v>
      </c>
      <c r="J20" s="5"/>
      <c r="K20" s="5"/>
      <c r="L20" s="1"/>
      <c r="M20">
        <v>94393</v>
      </c>
      <c r="N20" t="s">
        <v>22</v>
      </c>
      <c r="O20" s="1">
        <v>3.5</v>
      </c>
    </row>
    <row r="21" spans="1:16" ht="14.25" customHeight="1" x14ac:dyDescent="0.3">
      <c r="A21" s="4">
        <v>44333</v>
      </c>
      <c r="B21">
        <v>94393</v>
      </c>
      <c r="C21">
        <v>94497</v>
      </c>
      <c r="D21">
        <f t="shared" si="3"/>
        <v>104</v>
      </c>
      <c r="E21" s="1">
        <v>34.08</v>
      </c>
      <c r="F21">
        <v>4</v>
      </c>
      <c r="G21" s="1">
        <f t="shared" si="2"/>
        <v>5.6591375770020536</v>
      </c>
      <c r="H21" s="1">
        <f t="shared" si="4"/>
        <v>0.624</v>
      </c>
      <c r="I21" s="1">
        <f t="shared" si="5"/>
        <v>27.796862422997947</v>
      </c>
      <c r="J21" s="5">
        <f t="shared" si="8"/>
        <v>6.9492156057494867</v>
      </c>
      <c r="K21" s="5">
        <f t="shared" si="9"/>
        <v>16.605450636743115</v>
      </c>
      <c r="L21" s="1"/>
      <c r="M21" s="6">
        <v>94393</v>
      </c>
      <c r="N21" t="s">
        <v>19</v>
      </c>
      <c r="O21" s="8">
        <v>27</v>
      </c>
      <c r="P21">
        <v>518</v>
      </c>
    </row>
    <row r="22" spans="1:16" ht="14.25" customHeight="1" x14ac:dyDescent="0.3">
      <c r="A22" s="4">
        <v>44334</v>
      </c>
      <c r="B22">
        <v>94497</v>
      </c>
      <c r="C22">
        <v>94600</v>
      </c>
      <c r="D22">
        <f t="shared" si="3"/>
        <v>103</v>
      </c>
      <c r="E22" s="1">
        <v>32.08</v>
      </c>
      <c r="F22">
        <v>6</v>
      </c>
      <c r="G22" s="1">
        <f t="shared" si="2"/>
        <v>5.6047227926078032</v>
      </c>
      <c r="H22" s="1">
        <f t="shared" si="4"/>
        <v>0.61799999999999999</v>
      </c>
      <c r="I22" s="1">
        <f t="shared" si="5"/>
        <v>25.857277207392197</v>
      </c>
      <c r="J22" s="5">
        <f t="shared" si="8"/>
        <v>4.3095462012320329</v>
      </c>
      <c r="K22" s="5">
        <f t="shared" si="9"/>
        <v>17.471081024338538</v>
      </c>
      <c r="L22" s="1"/>
      <c r="O22" s="1"/>
    </row>
    <row r="23" spans="1:16" ht="14.25" customHeight="1" x14ac:dyDescent="0.3">
      <c r="A23" s="4">
        <v>44335</v>
      </c>
      <c r="B23">
        <v>94600</v>
      </c>
      <c r="C23">
        <v>94690</v>
      </c>
      <c r="D23">
        <f t="shared" si="3"/>
        <v>90</v>
      </c>
      <c r="E23" s="1">
        <v>35.94</v>
      </c>
      <c r="F23">
        <v>7</v>
      </c>
      <c r="G23" s="1">
        <f t="shared" si="2"/>
        <v>4.8973305954825461</v>
      </c>
      <c r="H23" s="1">
        <f t="shared" si="4"/>
        <v>0.54</v>
      </c>
      <c r="I23" s="1">
        <f t="shared" si="5"/>
        <v>30.502669404517452</v>
      </c>
      <c r="J23" s="5">
        <f t="shared" si="8"/>
        <v>4.3575242006453498</v>
      </c>
      <c r="K23" s="5">
        <f t="shared" si="9"/>
        <v>13.626406776523503</v>
      </c>
      <c r="L23" s="1"/>
      <c r="O23" s="1"/>
    </row>
    <row r="24" spans="1:16" ht="14.25" customHeight="1" x14ac:dyDescent="0.3">
      <c r="A24" s="4">
        <v>44336</v>
      </c>
      <c r="B24">
        <v>94700</v>
      </c>
      <c r="C24">
        <v>94781</v>
      </c>
      <c r="D24">
        <f t="shared" si="3"/>
        <v>81</v>
      </c>
      <c r="E24" s="1">
        <v>25.61</v>
      </c>
      <c r="F24">
        <v>3.5</v>
      </c>
      <c r="G24" s="1">
        <f t="shared" si="2"/>
        <v>4.4075975359342916</v>
      </c>
      <c r="H24" s="1">
        <f t="shared" si="4"/>
        <v>0.48599999999999999</v>
      </c>
      <c r="I24" s="1">
        <f t="shared" si="5"/>
        <v>20.716402464065705</v>
      </c>
      <c r="J24" s="5">
        <f t="shared" si="8"/>
        <v>5.9189721325902012</v>
      </c>
      <c r="K24" s="5">
        <f t="shared" si="9"/>
        <v>17.210455040743035</v>
      </c>
      <c r="L24" s="1"/>
      <c r="O24" s="1"/>
    </row>
    <row r="25" spans="1:16" ht="14.25" customHeight="1" x14ac:dyDescent="0.3">
      <c r="A25" s="4">
        <v>44337</v>
      </c>
      <c r="D25">
        <f t="shared" si="3"/>
        <v>0</v>
      </c>
      <c r="E25" s="1"/>
      <c r="G25" s="1">
        <f t="shared" si="2"/>
        <v>0</v>
      </c>
      <c r="H25" s="1">
        <f t="shared" si="4"/>
        <v>0</v>
      </c>
      <c r="I25" s="1">
        <f t="shared" si="5"/>
        <v>0</v>
      </c>
      <c r="J25" s="5"/>
      <c r="K25" s="5"/>
      <c r="L25" s="1"/>
      <c r="O25" s="1"/>
    </row>
    <row r="26" spans="1:16" ht="14.25" customHeight="1" x14ac:dyDescent="0.3">
      <c r="A26" s="4">
        <v>44338</v>
      </c>
      <c r="D26">
        <f t="shared" si="3"/>
        <v>0</v>
      </c>
      <c r="E26" s="1"/>
      <c r="G26" s="1">
        <f t="shared" si="2"/>
        <v>0</v>
      </c>
      <c r="H26" s="1">
        <f t="shared" si="4"/>
        <v>0</v>
      </c>
      <c r="I26" s="1">
        <f t="shared" si="5"/>
        <v>0</v>
      </c>
      <c r="J26" s="5"/>
      <c r="K26" s="5"/>
      <c r="L26" s="1"/>
      <c r="M26">
        <v>94863</v>
      </c>
      <c r="N26" t="s">
        <v>19</v>
      </c>
      <c r="O26" s="1">
        <v>28.5</v>
      </c>
      <c r="P26">
        <f>M26-M21</f>
        <v>470</v>
      </c>
    </row>
    <row r="27" spans="1:16" ht="14.25" customHeight="1" x14ac:dyDescent="0.3">
      <c r="A27" s="4">
        <v>44339</v>
      </c>
      <c r="B27">
        <v>94900</v>
      </c>
      <c r="C27">
        <v>94919</v>
      </c>
      <c r="D27">
        <f t="shared" si="3"/>
        <v>19</v>
      </c>
      <c r="E27" s="1">
        <v>5.2</v>
      </c>
      <c r="F27">
        <v>1</v>
      </c>
      <c r="G27" s="1">
        <f t="shared" si="2"/>
        <v>1.0338809034907599</v>
      </c>
      <c r="H27" s="1">
        <f t="shared" si="4"/>
        <v>0.114</v>
      </c>
      <c r="I27" s="1">
        <f t="shared" si="5"/>
        <v>4.05211909650924</v>
      </c>
      <c r="J27" s="5">
        <f t="shared" si="8"/>
        <v>4.05211909650924</v>
      </c>
      <c r="K27" s="5">
        <f t="shared" si="9"/>
        <v>19.882325067129997</v>
      </c>
      <c r="L27" s="1"/>
      <c r="O27" s="1"/>
    </row>
    <row r="28" spans="1:16" ht="14.25" customHeight="1" x14ac:dyDescent="0.3">
      <c r="A28" s="4">
        <v>44340</v>
      </c>
      <c r="B28">
        <v>94919</v>
      </c>
      <c r="C28">
        <v>95014</v>
      </c>
      <c r="D28">
        <f t="shared" si="3"/>
        <v>95</v>
      </c>
      <c r="E28" s="1">
        <v>28.32</v>
      </c>
      <c r="F28">
        <v>5</v>
      </c>
      <c r="G28" s="1">
        <f t="shared" si="2"/>
        <v>5.169404517453799</v>
      </c>
      <c r="H28" s="1">
        <f t="shared" si="4"/>
        <v>0.56999999999999995</v>
      </c>
      <c r="I28" s="1">
        <f t="shared" si="5"/>
        <v>22.580595482546201</v>
      </c>
      <c r="J28" s="5">
        <f t="shared" ref="J28:J35" si="11">I28/F28</f>
        <v>4.5161190965092404</v>
      </c>
      <c r="K28" s="5">
        <f t="shared" ref="K28:K35" si="12">(G28*100)/E28</f>
        <v>18.253547024907483</v>
      </c>
      <c r="L28" s="1"/>
      <c r="O28" s="1"/>
    </row>
    <row r="29" spans="1:16" ht="14.25" customHeight="1" x14ac:dyDescent="0.3">
      <c r="A29" s="4">
        <v>44341</v>
      </c>
      <c r="D29">
        <f t="shared" si="3"/>
        <v>0</v>
      </c>
      <c r="E29" s="1"/>
      <c r="G29" s="1">
        <f t="shared" si="2"/>
        <v>0</v>
      </c>
      <c r="H29" s="1">
        <f t="shared" si="4"/>
        <v>0</v>
      </c>
      <c r="I29" s="1">
        <f t="shared" si="5"/>
        <v>0</v>
      </c>
      <c r="J29" s="5"/>
      <c r="K29" s="5"/>
      <c r="L29" s="1"/>
      <c r="M29">
        <v>95028</v>
      </c>
      <c r="N29" t="s">
        <v>17</v>
      </c>
      <c r="O29" s="1">
        <v>30</v>
      </c>
    </row>
    <row r="30" spans="1:16" ht="14.25" customHeight="1" x14ac:dyDescent="0.3">
      <c r="A30" s="4">
        <v>44342</v>
      </c>
      <c r="B30">
        <v>95060</v>
      </c>
      <c r="C30">
        <v>95130</v>
      </c>
      <c r="D30">
        <f t="shared" si="3"/>
        <v>70</v>
      </c>
      <c r="E30" s="1">
        <v>11.22</v>
      </c>
      <c r="F30">
        <v>3</v>
      </c>
      <c r="G30" s="1">
        <f t="shared" si="2"/>
        <v>3.8090349075975363</v>
      </c>
      <c r="H30" s="1">
        <f t="shared" si="4"/>
        <v>0.42</v>
      </c>
      <c r="I30" s="1">
        <f t="shared" si="5"/>
        <v>6.9909650924024644</v>
      </c>
      <c r="J30" s="5">
        <f t="shared" si="11"/>
        <v>2.3303216974674883</v>
      </c>
      <c r="K30" s="5">
        <f t="shared" si="12"/>
        <v>33.94861771477305</v>
      </c>
      <c r="L30" s="1"/>
      <c r="O30" s="1"/>
    </row>
    <row r="31" spans="1:16" ht="14.25" customHeight="1" x14ac:dyDescent="0.3">
      <c r="A31" s="4">
        <v>44343</v>
      </c>
      <c r="B31">
        <v>95130</v>
      </c>
      <c r="C31">
        <v>95244</v>
      </c>
      <c r="D31">
        <f t="shared" si="3"/>
        <v>114</v>
      </c>
      <c r="E31" s="1">
        <v>42.83</v>
      </c>
      <c r="F31">
        <v>7</v>
      </c>
      <c r="G31" s="1">
        <f t="shared" si="2"/>
        <v>6.2032854209445585</v>
      </c>
      <c r="H31" s="1">
        <f t="shared" si="4"/>
        <v>0.68400000000000005</v>
      </c>
      <c r="I31" s="1">
        <f t="shared" si="5"/>
        <v>35.942714579055441</v>
      </c>
      <c r="J31" s="5">
        <f t="shared" si="11"/>
        <v>5.1346735112936344</v>
      </c>
      <c r="K31" s="5">
        <f t="shared" si="12"/>
        <v>14.48350553570992</v>
      </c>
      <c r="L31" s="1"/>
      <c r="O31" s="1"/>
    </row>
    <row r="32" spans="1:16" ht="14.25" customHeight="1" x14ac:dyDescent="0.3">
      <c r="A32" s="4">
        <v>44344</v>
      </c>
      <c r="B32">
        <v>95253</v>
      </c>
      <c r="C32">
        <v>95349</v>
      </c>
      <c r="D32">
        <f t="shared" si="3"/>
        <v>96</v>
      </c>
      <c r="E32" s="1">
        <v>30.73</v>
      </c>
      <c r="F32">
        <v>5</v>
      </c>
      <c r="G32" s="1">
        <f t="shared" si="2"/>
        <v>5.2238193018480494</v>
      </c>
      <c r="H32" s="1">
        <f t="shared" si="4"/>
        <v>0.57599999999999996</v>
      </c>
      <c r="I32" s="1">
        <f t="shared" si="5"/>
        <v>24.93018069815195</v>
      </c>
      <c r="J32" s="5">
        <f t="shared" si="11"/>
        <v>4.9860361396303903</v>
      </c>
      <c r="K32" s="5">
        <f t="shared" si="12"/>
        <v>16.999086566378292</v>
      </c>
      <c r="L32" s="1"/>
      <c r="O32" s="1"/>
    </row>
    <row r="33" spans="1:16" ht="14.25" customHeight="1" x14ac:dyDescent="0.3">
      <c r="A33" s="4">
        <v>44345</v>
      </c>
      <c r="D33">
        <f t="shared" si="3"/>
        <v>0</v>
      </c>
      <c r="E33" s="1"/>
      <c r="G33" s="1">
        <f t="shared" si="10"/>
        <v>0</v>
      </c>
      <c r="H33" s="1">
        <f t="shared" si="4"/>
        <v>0</v>
      </c>
      <c r="I33" s="1">
        <f t="shared" si="5"/>
        <v>0</v>
      </c>
      <c r="J33" s="5"/>
      <c r="K33" s="5"/>
      <c r="L33" s="1"/>
      <c r="M33">
        <v>95354</v>
      </c>
      <c r="N33" t="s">
        <v>19</v>
      </c>
      <c r="O33" s="1">
        <v>28</v>
      </c>
      <c r="P33">
        <f>M33-M26</f>
        <v>491</v>
      </c>
    </row>
    <row r="34" spans="1:16" ht="14.25" customHeight="1" x14ac:dyDescent="0.3">
      <c r="A34" s="4">
        <v>44346</v>
      </c>
      <c r="D34">
        <f t="shared" si="3"/>
        <v>0</v>
      </c>
      <c r="E34" s="1"/>
      <c r="G34" s="1">
        <f t="shared" si="2"/>
        <v>0</v>
      </c>
      <c r="H34" s="1">
        <f t="shared" si="4"/>
        <v>0</v>
      </c>
      <c r="I34" s="1">
        <f t="shared" si="5"/>
        <v>0</v>
      </c>
      <c r="J34" s="5"/>
      <c r="K34" s="5"/>
      <c r="L34" s="1"/>
      <c r="O34" s="1"/>
    </row>
    <row r="35" spans="1:16" ht="14.25" customHeight="1" x14ac:dyDescent="0.3">
      <c r="A35" s="4">
        <v>44347</v>
      </c>
      <c r="B35">
        <v>95624</v>
      </c>
      <c r="C35">
        <v>95684</v>
      </c>
      <c r="D35" s="9">
        <f t="shared" si="3"/>
        <v>60</v>
      </c>
      <c r="E35" s="11">
        <v>23.3</v>
      </c>
      <c r="F35" s="11">
        <v>4</v>
      </c>
      <c r="G35" s="1">
        <f t="shared" si="2"/>
        <v>3.2648870636550309</v>
      </c>
      <c r="H35" s="1">
        <f t="shared" ref="H35" si="13">(D35*$T$3)/$S$3</f>
        <v>0.36</v>
      </c>
      <c r="I35" s="1">
        <f t="shared" ref="I35" si="14">E35-G35-H35</f>
        <v>19.67511293634497</v>
      </c>
      <c r="J35" s="5">
        <f t="shared" si="11"/>
        <v>4.9187782340862425</v>
      </c>
      <c r="K35" s="5">
        <f t="shared" si="12"/>
        <v>14.012390831137472</v>
      </c>
      <c r="L35" s="2"/>
      <c r="O35" s="1"/>
    </row>
    <row r="36" spans="1:16" ht="14.25" customHeight="1" x14ac:dyDescent="0.3">
      <c r="G36" s="1"/>
      <c r="H36" s="1"/>
      <c r="I36" s="1"/>
      <c r="O36" s="1"/>
    </row>
    <row r="37" spans="1:16" ht="14.25" customHeight="1" x14ac:dyDescent="0.3">
      <c r="G37" s="1"/>
      <c r="H37" s="1"/>
      <c r="I37" s="1"/>
      <c r="O37" s="1"/>
    </row>
    <row r="38" spans="1:16" ht="14.25" customHeight="1" x14ac:dyDescent="0.3">
      <c r="G38" s="1"/>
      <c r="H38" s="1"/>
      <c r="I38" s="1"/>
      <c r="O38" s="1"/>
    </row>
    <row r="39" spans="1:16" ht="14.25" customHeight="1" x14ac:dyDescent="0.3">
      <c r="G39" s="1"/>
      <c r="H39" s="1"/>
      <c r="I39" s="1"/>
      <c r="O39" s="1"/>
    </row>
    <row r="40" spans="1:16" ht="14.25" customHeight="1" x14ac:dyDescent="0.3">
      <c r="G40" s="1"/>
      <c r="H40" s="1"/>
      <c r="I40" s="1"/>
      <c r="O40" s="1"/>
    </row>
    <row r="41" spans="1:16" ht="14.25" customHeight="1" x14ac:dyDescent="0.3">
      <c r="G41" s="1"/>
      <c r="H41" s="1"/>
      <c r="I41" s="1"/>
      <c r="O41" s="1"/>
    </row>
    <row r="42" spans="1:16" ht="14.25" customHeight="1" x14ac:dyDescent="0.3">
      <c r="G42" s="1"/>
      <c r="H42" s="1"/>
      <c r="I42" s="1"/>
      <c r="O42" s="1"/>
    </row>
    <row r="43" spans="1:16" ht="14.25" customHeight="1" x14ac:dyDescent="0.3">
      <c r="G43" s="1"/>
      <c r="H43" s="1"/>
      <c r="I43" s="1"/>
      <c r="O43" s="1"/>
    </row>
    <row r="44" spans="1:16" ht="14.25" customHeight="1" x14ac:dyDescent="0.3">
      <c r="G44" s="1"/>
      <c r="H44" s="1"/>
      <c r="I44" s="1"/>
      <c r="O44" s="1"/>
    </row>
    <row r="45" spans="1:16" ht="14.25" customHeight="1" x14ac:dyDescent="0.3">
      <c r="G45" s="1"/>
      <c r="H45" s="1"/>
      <c r="I45" s="1"/>
      <c r="O45" s="1"/>
    </row>
    <row r="46" spans="1:16" ht="14.25" customHeight="1" x14ac:dyDescent="0.3">
      <c r="G46" s="1"/>
      <c r="H46" s="1"/>
      <c r="I46" s="1"/>
      <c r="O46" s="1"/>
    </row>
    <row r="47" spans="1:16" ht="14.25" customHeight="1" x14ac:dyDescent="0.3">
      <c r="G47" s="1"/>
      <c r="H47" s="1"/>
      <c r="I47" s="1"/>
      <c r="O47" s="1"/>
    </row>
    <row r="48" spans="1:16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8839-06FF-4713-A316-9026EC1611AA}">
  <dimension ref="A1:T100"/>
  <sheetViews>
    <sheetView zoomScale="90" zoomScaleNormal="90" workbookViewId="0">
      <pane ySplit="3" topLeftCell="A4" activePane="bottomLeft" state="frozen"/>
      <selection pane="bottomLeft" activeCell="M20" sqref="M20"/>
    </sheetView>
  </sheetViews>
  <sheetFormatPr baseColWidth="10" defaultColWidth="14.44140625" defaultRowHeight="15" customHeight="1" x14ac:dyDescent="0.3"/>
  <cols>
    <col min="1" max="6" width="10.6640625" style="10" customWidth="1"/>
    <col min="7" max="9" width="11.5546875" style="10" customWidth="1"/>
    <col min="10" max="14" width="10.6640625" style="10" customWidth="1"/>
    <col min="15" max="15" width="11.5546875" style="10" customWidth="1"/>
    <col min="16" max="20" width="10.6640625" style="10" customWidth="1"/>
    <col min="21" max="16384" width="14.44140625" style="10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625</v>
      </c>
      <c r="E3" s="3">
        <f t="shared" si="0"/>
        <v>234.20999999999998</v>
      </c>
      <c r="F3" s="3">
        <f t="shared" si="0"/>
        <v>41</v>
      </c>
      <c r="G3" s="3">
        <f t="shared" si="0"/>
        <v>31.25</v>
      </c>
      <c r="H3" s="3">
        <f t="shared" si="0"/>
        <v>3.7500000000000004</v>
      </c>
      <c r="I3" s="3">
        <f t="shared" si="0"/>
        <v>199.20999999999998</v>
      </c>
      <c r="J3" s="3">
        <f t="shared" ref="J3:K3" si="1">AVERAGE(J4:J34)</f>
        <v>4.3860037780401422</v>
      </c>
      <c r="K3" s="3">
        <f t="shared" si="1"/>
        <v>16.738516430514156</v>
      </c>
      <c r="M3" s="2"/>
      <c r="N3" s="2"/>
      <c r="O3" s="3">
        <f>SUM(O4:O35)</f>
        <v>76</v>
      </c>
      <c r="P3" s="7">
        <v>0.05</v>
      </c>
      <c r="Q3" s="10">
        <v>2.5499999999999998</v>
      </c>
      <c r="R3" s="10">
        <v>43</v>
      </c>
      <c r="S3" s="10">
        <v>5000</v>
      </c>
      <c r="T3" s="10">
        <v>30</v>
      </c>
    </row>
    <row r="4" spans="1:20" ht="14.25" customHeight="1" x14ac:dyDescent="0.3">
      <c r="A4" s="4"/>
      <c r="E4" s="1"/>
      <c r="G4" s="1">
        <f t="shared" ref="G4:G34" si="2">D4*$P$3</f>
        <v>0</v>
      </c>
      <c r="H4" s="1"/>
      <c r="I4" s="1"/>
      <c r="O4" s="1"/>
    </row>
    <row r="5" spans="1:20" ht="14.25" customHeight="1" x14ac:dyDescent="0.3">
      <c r="A5" s="4">
        <v>44713</v>
      </c>
      <c r="B5" s="10">
        <v>95684</v>
      </c>
      <c r="C5" s="10">
        <v>95777</v>
      </c>
      <c r="D5" s="10">
        <f t="shared" ref="D5:D34" si="3">C5-B5</f>
        <v>93</v>
      </c>
      <c r="E5" s="1">
        <v>39.89</v>
      </c>
      <c r="F5" s="10">
        <v>7</v>
      </c>
      <c r="G5" s="1">
        <f t="shared" si="2"/>
        <v>4.6500000000000004</v>
      </c>
      <c r="H5" s="1">
        <f t="shared" ref="H5:H34" si="4">(D5*$T$3)/$S$3</f>
        <v>0.55800000000000005</v>
      </c>
      <c r="I5" s="1">
        <f t="shared" ref="I5:I34" si="5">E5-G5-H5</f>
        <v>34.682000000000002</v>
      </c>
      <c r="J5" s="5">
        <f t="shared" ref="J5:J6" si="6">I5/F5</f>
        <v>4.9545714285714286</v>
      </c>
      <c r="K5" s="5">
        <f t="shared" ref="K5:K22" si="7">(G5*100)/E5</f>
        <v>11.657056906492857</v>
      </c>
      <c r="O5" s="1"/>
    </row>
    <row r="6" spans="1:20" ht="14.25" customHeight="1" x14ac:dyDescent="0.3">
      <c r="A6" s="4">
        <v>44714</v>
      </c>
      <c r="B6" s="10">
        <v>95777</v>
      </c>
      <c r="C6" s="10">
        <v>95790</v>
      </c>
      <c r="D6" s="10">
        <f t="shared" si="3"/>
        <v>13</v>
      </c>
      <c r="E6" s="1">
        <v>3.6</v>
      </c>
      <c r="F6" s="10">
        <v>1</v>
      </c>
      <c r="G6" s="1">
        <f t="shared" si="2"/>
        <v>0.65</v>
      </c>
      <c r="H6" s="1">
        <f t="shared" si="4"/>
        <v>7.8E-2</v>
      </c>
      <c r="I6" s="1">
        <f t="shared" si="5"/>
        <v>2.8720000000000003</v>
      </c>
      <c r="J6" s="5">
        <f t="shared" si="6"/>
        <v>2.8720000000000003</v>
      </c>
      <c r="K6" s="5">
        <f t="shared" si="7"/>
        <v>18.055555555555554</v>
      </c>
      <c r="O6" s="1"/>
    </row>
    <row r="7" spans="1:20" ht="14.25" customHeight="1" x14ac:dyDescent="0.3">
      <c r="A7" s="4">
        <v>44715</v>
      </c>
      <c r="B7" s="10">
        <v>95830</v>
      </c>
      <c r="C7" s="10">
        <v>95910</v>
      </c>
      <c r="D7" s="10">
        <f t="shared" si="3"/>
        <v>80</v>
      </c>
      <c r="E7" s="1">
        <v>32.4</v>
      </c>
      <c r="F7" s="10">
        <v>5</v>
      </c>
      <c r="G7" s="1">
        <f t="shared" si="2"/>
        <v>4</v>
      </c>
      <c r="H7" s="1">
        <f t="shared" si="4"/>
        <v>0.48</v>
      </c>
      <c r="I7" s="1">
        <f t="shared" si="5"/>
        <v>27.919999999999998</v>
      </c>
      <c r="J7" s="5">
        <f>I7/F7</f>
        <v>5.5839999999999996</v>
      </c>
      <c r="K7" s="5">
        <f t="shared" si="7"/>
        <v>12.345679012345679</v>
      </c>
      <c r="M7" s="10">
        <v>95893</v>
      </c>
      <c r="N7" s="10" t="s">
        <v>19</v>
      </c>
      <c r="O7" s="1">
        <v>29</v>
      </c>
    </row>
    <row r="8" spans="1:20" ht="14.25" customHeight="1" x14ac:dyDescent="0.3">
      <c r="A8" s="4">
        <v>44716</v>
      </c>
      <c r="D8" s="10">
        <f t="shared" si="3"/>
        <v>0</v>
      </c>
      <c r="E8" s="1"/>
      <c r="G8" s="1">
        <f t="shared" si="2"/>
        <v>0</v>
      </c>
      <c r="H8" s="1">
        <f t="shared" si="4"/>
        <v>0</v>
      </c>
      <c r="I8" s="1">
        <f t="shared" si="5"/>
        <v>0</v>
      </c>
      <c r="J8" s="5"/>
      <c r="K8" s="5"/>
      <c r="O8" s="1"/>
    </row>
    <row r="9" spans="1:20" ht="14.25" customHeight="1" x14ac:dyDescent="0.3">
      <c r="A9" s="4">
        <v>44717</v>
      </c>
      <c r="D9" s="10">
        <f t="shared" si="3"/>
        <v>0</v>
      </c>
      <c r="E9" s="1"/>
      <c r="G9" s="1">
        <f t="shared" si="2"/>
        <v>0</v>
      </c>
      <c r="H9" s="1">
        <f t="shared" si="4"/>
        <v>0</v>
      </c>
      <c r="I9" s="1">
        <f t="shared" si="5"/>
        <v>0</v>
      </c>
      <c r="J9" s="5"/>
      <c r="K9" s="5"/>
      <c r="O9" s="1"/>
    </row>
    <row r="10" spans="1:20" ht="14.25" customHeight="1" x14ac:dyDescent="0.3">
      <c r="A10" s="4">
        <v>44718</v>
      </c>
      <c r="D10" s="10">
        <f t="shared" si="3"/>
        <v>0</v>
      </c>
      <c r="E10" s="1"/>
      <c r="G10" s="1">
        <f t="shared" si="2"/>
        <v>0</v>
      </c>
      <c r="H10" s="1">
        <f t="shared" si="4"/>
        <v>0</v>
      </c>
      <c r="I10" s="1">
        <f t="shared" si="5"/>
        <v>0</v>
      </c>
      <c r="J10" s="5"/>
      <c r="K10" s="5"/>
      <c r="L10" s="1"/>
      <c r="O10" s="1"/>
    </row>
    <row r="11" spans="1:20" ht="14.25" customHeight="1" x14ac:dyDescent="0.3">
      <c r="A11" s="4">
        <v>44719</v>
      </c>
      <c r="B11" s="10">
        <v>96129</v>
      </c>
      <c r="C11" s="10">
        <v>96201</v>
      </c>
      <c r="D11" s="10">
        <f t="shared" si="3"/>
        <v>72</v>
      </c>
      <c r="E11" s="1">
        <v>31.04</v>
      </c>
      <c r="F11" s="10">
        <v>5</v>
      </c>
      <c r="G11" s="1">
        <f t="shared" si="2"/>
        <v>3.6</v>
      </c>
      <c r="H11" s="1">
        <f t="shared" si="4"/>
        <v>0.432</v>
      </c>
      <c r="I11" s="1">
        <f t="shared" si="5"/>
        <v>27.007999999999999</v>
      </c>
      <c r="J11" s="5">
        <f t="shared" ref="J11:J22" si="8">I11/F11</f>
        <v>5.4016000000000002</v>
      </c>
      <c r="K11" s="5">
        <f t="shared" si="7"/>
        <v>11.597938144329897</v>
      </c>
      <c r="L11" s="1"/>
      <c r="O11" s="1"/>
    </row>
    <row r="12" spans="1:20" ht="14.25" customHeight="1" x14ac:dyDescent="0.3">
      <c r="A12" s="4">
        <v>44720</v>
      </c>
      <c r="B12" s="10">
        <v>96231</v>
      </c>
      <c r="C12" s="10">
        <v>96277</v>
      </c>
      <c r="D12" s="10">
        <f t="shared" si="3"/>
        <v>46</v>
      </c>
      <c r="E12" s="1">
        <v>14.59</v>
      </c>
      <c r="F12" s="10">
        <v>3.5</v>
      </c>
      <c r="G12" s="1">
        <f t="shared" si="2"/>
        <v>2.3000000000000003</v>
      </c>
      <c r="H12" s="1">
        <f t="shared" si="4"/>
        <v>0.27600000000000002</v>
      </c>
      <c r="I12" s="1">
        <f t="shared" si="5"/>
        <v>12.013999999999999</v>
      </c>
      <c r="J12" s="5">
        <f t="shared" si="8"/>
        <v>3.4325714285714284</v>
      </c>
      <c r="K12" s="5">
        <f t="shared" si="7"/>
        <v>15.7642220699109</v>
      </c>
      <c r="L12" s="1"/>
      <c r="M12" s="10">
        <v>96231</v>
      </c>
      <c r="N12" s="10" t="s">
        <v>23</v>
      </c>
      <c r="O12" s="1">
        <v>20</v>
      </c>
    </row>
    <row r="13" spans="1:20" ht="14.25" customHeight="1" x14ac:dyDescent="0.3">
      <c r="A13" s="4">
        <v>44721</v>
      </c>
      <c r="B13" s="10">
        <v>96278</v>
      </c>
      <c r="C13" s="10">
        <v>96362</v>
      </c>
      <c r="D13" s="10">
        <f t="shared" si="3"/>
        <v>84</v>
      </c>
      <c r="E13" s="1">
        <v>33.11</v>
      </c>
      <c r="F13" s="10">
        <v>5.5</v>
      </c>
      <c r="G13" s="1">
        <f t="shared" si="2"/>
        <v>4.2</v>
      </c>
      <c r="H13" s="1">
        <f t="shared" si="4"/>
        <v>0.504</v>
      </c>
      <c r="I13" s="1">
        <f t="shared" si="5"/>
        <v>28.405999999999999</v>
      </c>
      <c r="J13" s="5">
        <f t="shared" si="8"/>
        <v>5.1647272727272728</v>
      </c>
      <c r="K13" s="5">
        <f t="shared" si="7"/>
        <v>12.684989429175475</v>
      </c>
      <c r="L13" s="1"/>
      <c r="O13" s="1"/>
    </row>
    <row r="14" spans="1:20" ht="14.25" customHeight="1" x14ac:dyDescent="0.3">
      <c r="A14" s="4">
        <v>44722</v>
      </c>
      <c r="B14" s="10">
        <v>96362</v>
      </c>
      <c r="C14" s="10">
        <v>96453</v>
      </c>
      <c r="D14" s="10">
        <f t="shared" si="3"/>
        <v>91</v>
      </c>
      <c r="E14" s="1">
        <v>38.94</v>
      </c>
      <c r="F14" s="10">
        <v>6</v>
      </c>
      <c r="G14" s="1">
        <f t="shared" si="2"/>
        <v>4.55</v>
      </c>
      <c r="H14" s="1">
        <f t="shared" si="4"/>
        <v>0.54600000000000004</v>
      </c>
      <c r="I14" s="1">
        <f t="shared" si="5"/>
        <v>33.844000000000001</v>
      </c>
      <c r="J14" s="5">
        <f t="shared" si="8"/>
        <v>5.6406666666666672</v>
      </c>
      <c r="K14" s="5">
        <f t="shared" si="7"/>
        <v>11.684643040575244</v>
      </c>
      <c r="L14" s="1"/>
      <c r="M14" s="10">
        <v>96387</v>
      </c>
      <c r="N14" s="10" t="s">
        <v>19</v>
      </c>
      <c r="O14" s="1">
        <v>27</v>
      </c>
    </row>
    <row r="15" spans="1:20" ht="14.25" customHeight="1" x14ac:dyDescent="0.3">
      <c r="A15" s="4">
        <v>44723</v>
      </c>
      <c r="D15" s="10">
        <f t="shared" si="3"/>
        <v>0</v>
      </c>
      <c r="E15" s="1"/>
      <c r="G15" s="1">
        <f t="shared" si="2"/>
        <v>0</v>
      </c>
      <c r="H15" s="1">
        <f t="shared" si="4"/>
        <v>0</v>
      </c>
      <c r="I15" s="1">
        <f t="shared" si="5"/>
        <v>0</v>
      </c>
      <c r="J15" s="5"/>
      <c r="K15" s="5"/>
      <c r="L15" s="1"/>
      <c r="O15" s="1"/>
    </row>
    <row r="16" spans="1:20" ht="14.25" customHeight="1" x14ac:dyDescent="0.3">
      <c r="A16" s="4">
        <v>44724</v>
      </c>
      <c r="D16" s="10">
        <f t="shared" si="3"/>
        <v>0</v>
      </c>
      <c r="E16" s="1"/>
      <c r="G16" s="1">
        <f t="shared" si="2"/>
        <v>0</v>
      </c>
      <c r="H16" s="1">
        <f t="shared" si="4"/>
        <v>0</v>
      </c>
      <c r="I16" s="1">
        <f t="shared" si="5"/>
        <v>0</v>
      </c>
      <c r="J16" s="5"/>
      <c r="K16" s="5"/>
      <c r="L16" s="1"/>
      <c r="O16" s="1"/>
    </row>
    <row r="17" spans="1:15" ht="14.25" customHeight="1" x14ac:dyDescent="0.3">
      <c r="A17" s="4">
        <v>44725</v>
      </c>
      <c r="D17" s="10">
        <f t="shared" si="3"/>
        <v>0</v>
      </c>
      <c r="E17" s="1"/>
      <c r="G17" s="1">
        <f t="shared" si="2"/>
        <v>0</v>
      </c>
      <c r="H17" s="1">
        <f t="shared" si="4"/>
        <v>0</v>
      </c>
      <c r="I17" s="1">
        <f t="shared" si="5"/>
        <v>0</v>
      </c>
      <c r="J17" s="5"/>
      <c r="K17" s="5"/>
      <c r="L17" s="1"/>
      <c r="O17" s="1"/>
    </row>
    <row r="18" spans="1:15" ht="14.25" customHeight="1" x14ac:dyDescent="0.3">
      <c r="A18" s="4">
        <v>44726</v>
      </c>
      <c r="B18" s="10">
        <v>96518</v>
      </c>
      <c r="C18" s="10">
        <v>96566</v>
      </c>
      <c r="D18" s="10">
        <f t="shared" si="3"/>
        <v>48</v>
      </c>
      <c r="E18" s="1">
        <v>19.98</v>
      </c>
      <c r="F18" s="12">
        <v>3.5</v>
      </c>
      <c r="G18" s="1">
        <f t="shared" si="2"/>
        <v>2.4000000000000004</v>
      </c>
      <c r="H18" s="1">
        <f t="shared" si="4"/>
        <v>0.28799999999999998</v>
      </c>
      <c r="I18" s="1">
        <f t="shared" si="5"/>
        <v>17.291999999999998</v>
      </c>
      <c r="J18" s="5">
        <f t="shared" si="8"/>
        <v>4.9405714285714284</v>
      </c>
      <c r="K18" s="5">
        <f t="shared" si="7"/>
        <v>12.012012012012013</v>
      </c>
      <c r="L18" s="1"/>
      <c r="O18" s="1"/>
    </row>
    <row r="19" spans="1:15" ht="14.25" customHeight="1" x14ac:dyDescent="0.3">
      <c r="A19" s="4">
        <v>44727</v>
      </c>
      <c r="B19" s="10">
        <v>96566</v>
      </c>
      <c r="C19" s="10">
        <v>96594</v>
      </c>
      <c r="D19" s="10">
        <f t="shared" si="3"/>
        <v>28</v>
      </c>
      <c r="E19" s="1">
        <v>3.98</v>
      </c>
      <c r="F19" s="12">
        <v>1</v>
      </c>
      <c r="G19" s="1">
        <f t="shared" si="2"/>
        <v>1.4000000000000001</v>
      </c>
      <c r="H19" s="1">
        <f t="shared" si="4"/>
        <v>0.16800000000000001</v>
      </c>
      <c r="I19" s="1">
        <f t="shared" si="5"/>
        <v>2.4119999999999999</v>
      </c>
      <c r="J19" s="5">
        <f t="shared" si="8"/>
        <v>2.4119999999999999</v>
      </c>
      <c r="K19" s="5">
        <f t="shared" si="7"/>
        <v>35.175879396984925</v>
      </c>
      <c r="L19" s="1"/>
      <c r="O19" s="1"/>
    </row>
    <row r="20" spans="1:15" ht="14.25" customHeight="1" x14ac:dyDescent="0.3">
      <c r="A20" s="4">
        <v>44728</v>
      </c>
      <c r="D20" s="10">
        <f t="shared" si="3"/>
        <v>0</v>
      </c>
      <c r="E20" s="1"/>
      <c r="G20" s="1">
        <f t="shared" si="2"/>
        <v>0</v>
      </c>
      <c r="H20" s="1">
        <f t="shared" si="4"/>
        <v>0</v>
      </c>
      <c r="I20" s="1">
        <f t="shared" si="5"/>
        <v>0</v>
      </c>
      <c r="J20" s="5"/>
      <c r="K20" s="5"/>
      <c r="L20" s="1"/>
      <c r="O20" s="1"/>
    </row>
    <row r="21" spans="1:15" ht="14.25" customHeight="1" x14ac:dyDescent="0.3">
      <c r="A21" s="4">
        <v>44729</v>
      </c>
      <c r="B21" s="10">
        <v>96610</v>
      </c>
      <c r="C21" s="10">
        <v>96635</v>
      </c>
      <c r="D21" s="10">
        <f t="shared" si="3"/>
        <v>25</v>
      </c>
      <c r="E21" s="1">
        <v>5.38</v>
      </c>
      <c r="F21" s="12">
        <v>2</v>
      </c>
      <c r="G21" s="1">
        <f t="shared" si="2"/>
        <v>1.25</v>
      </c>
      <c r="H21" s="1">
        <f t="shared" si="4"/>
        <v>0.15</v>
      </c>
      <c r="I21" s="1">
        <f t="shared" si="5"/>
        <v>3.98</v>
      </c>
      <c r="J21" s="5">
        <f t="shared" si="8"/>
        <v>1.99</v>
      </c>
      <c r="K21" s="5">
        <f t="shared" si="7"/>
        <v>23.234200743494423</v>
      </c>
      <c r="L21" s="1"/>
      <c r="O21" s="8"/>
    </row>
    <row r="22" spans="1:15" ht="14.25" customHeight="1" x14ac:dyDescent="0.3">
      <c r="A22" s="4">
        <v>44730</v>
      </c>
      <c r="B22" s="12">
        <v>96635</v>
      </c>
      <c r="C22" s="12">
        <v>96680</v>
      </c>
      <c r="D22" s="10">
        <f t="shared" si="3"/>
        <v>45</v>
      </c>
      <c r="E22" s="1">
        <v>11.3</v>
      </c>
      <c r="F22" s="12">
        <v>1.5</v>
      </c>
      <c r="G22" s="1">
        <f t="shared" si="2"/>
        <v>2.25</v>
      </c>
      <c r="H22" s="1">
        <f t="shared" si="4"/>
        <v>0.27</v>
      </c>
      <c r="I22" s="1">
        <f t="shared" si="5"/>
        <v>8.7800000000000011</v>
      </c>
      <c r="J22" s="5">
        <f t="shared" si="8"/>
        <v>5.8533333333333344</v>
      </c>
      <c r="K22" s="5">
        <f t="shared" si="7"/>
        <v>19.911504424778759</v>
      </c>
      <c r="L22" s="1"/>
      <c r="O22" s="1"/>
    </row>
    <row r="23" spans="1:15" ht="14.25" customHeight="1" x14ac:dyDescent="0.3">
      <c r="A23" s="4">
        <v>44731</v>
      </c>
      <c r="D23" s="10">
        <f t="shared" si="3"/>
        <v>0</v>
      </c>
      <c r="E23" s="1"/>
      <c r="G23" s="1">
        <f t="shared" si="2"/>
        <v>0</v>
      </c>
      <c r="H23" s="1">
        <f t="shared" si="4"/>
        <v>0</v>
      </c>
      <c r="I23" s="1">
        <f t="shared" si="5"/>
        <v>0</v>
      </c>
      <c r="J23" s="5"/>
      <c r="K23" s="5"/>
      <c r="L23" s="1"/>
      <c r="O23" s="1"/>
    </row>
    <row r="24" spans="1:15" ht="14.25" customHeight="1" x14ac:dyDescent="0.3">
      <c r="A24" s="4">
        <v>44732</v>
      </c>
      <c r="D24" s="10">
        <f t="shared" si="3"/>
        <v>0</v>
      </c>
      <c r="E24" s="1"/>
      <c r="G24" s="1">
        <f t="shared" si="2"/>
        <v>0</v>
      </c>
      <c r="H24" s="1">
        <f t="shared" si="4"/>
        <v>0</v>
      </c>
      <c r="I24" s="1">
        <f t="shared" si="5"/>
        <v>0</v>
      </c>
      <c r="J24" s="5"/>
      <c r="K24" s="5"/>
      <c r="L24" s="1"/>
      <c r="O24" s="1"/>
    </row>
    <row r="25" spans="1:15" ht="14.25" customHeight="1" x14ac:dyDescent="0.3">
      <c r="A25" s="4">
        <v>44733</v>
      </c>
      <c r="D25" s="10">
        <f t="shared" si="3"/>
        <v>0</v>
      </c>
      <c r="E25" s="1"/>
      <c r="G25" s="1">
        <f t="shared" si="2"/>
        <v>0</v>
      </c>
      <c r="H25" s="1">
        <f t="shared" si="4"/>
        <v>0</v>
      </c>
      <c r="I25" s="1">
        <f t="shared" si="5"/>
        <v>0</v>
      </c>
      <c r="J25" s="5"/>
      <c r="K25" s="5"/>
      <c r="L25" s="1"/>
      <c r="O25" s="1"/>
    </row>
    <row r="26" spans="1:15" ht="14.25" customHeight="1" x14ac:dyDescent="0.3">
      <c r="A26" s="4">
        <v>44734</v>
      </c>
      <c r="D26" s="10">
        <f t="shared" si="3"/>
        <v>0</v>
      </c>
      <c r="E26" s="1"/>
      <c r="G26" s="1">
        <f t="shared" si="2"/>
        <v>0</v>
      </c>
      <c r="H26" s="1">
        <f t="shared" si="4"/>
        <v>0</v>
      </c>
      <c r="I26" s="1">
        <f t="shared" si="5"/>
        <v>0</v>
      </c>
      <c r="J26" s="5"/>
      <c r="K26" s="5"/>
      <c r="L26" s="1"/>
      <c r="O26" s="1"/>
    </row>
    <row r="27" spans="1:15" ht="14.25" customHeight="1" x14ac:dyDescent="0.3">
      <c r="A27" s="4">
        <v>44735</v>
      </c>
      <c r="D27" s="10">
        <f t="shared" si="3"/>
        <v>0</v>
      </c>
      <c r="E27" s="1"/>
      <c r="G27" s="1">
        <f t="shared" si="2"/>
        <v>0</v>
      </c>
      <c r="H27" s="1">
        <f t="shared" si="4"/>
        <v>0</v>
      </c>
      <c r="I27" s="1">
        <f t="shared" si="5"/>
        <v>0</v>
      </c>
      <c r="J27" s="5"/>
      <c r="K27" s="5"/>
      <c r="L27" s="1"/>
      <c r="O27" s="1"/>
    </row>
    <row r="28" spans="1:15" ht="14.25" customHeight="1" x14ac:dyDescent="0.3">
      <c r="A28" s="4">
        <v>44736</v>
      </c>
      <c r="D28" s="10">
        <f t="shared" si="3"/>
        <v>0</v>
      </c>
      <c r="E28" s="1"/>
      <c r="G28" s="1">
        <f t="shared" si="2"/>
        <v>0</v>
      </c>
      <c r="H28" s="1">
        <f t="shared" si="4"/>
        <v>0</v>
      </c>
      <c r="I28" s="1">
        <f t="shared" si="5"/>
        <v>0</v>
      </c>
      <c r="J28" s="5"/>
      <c r="K28" s="5"/>
      <c r="L28" s="1"/>
      <c r="O28" s="1"/>
    </row>
    <row r="29" spans="1:15" ht="14.25" customHeight="1" x14ac:dyDescent="0.3">
      <c r="A29" s="4">
        <v>44737</v>
      </c>
      <c r="D29" s="10">
        <f t="shared" si="3"/>
        <v>0</v>
      </c>
      <c r="E29" s="1"/>
      <c r="G29" s="1">
        <f t="shared" si="2"/>
        <v>0</v>
      </c>
      <c r="H29" s="1">
        <f t="shared" si="4"/>
        <v>0</v>
      </c>
      <c r="I29" s="1">
        <f t="shared" si="5"/>
        <v>0</v>
      </c>
      <c r="J29" s="5"/>
      <c r="K29" s="5"/>
      <c r="L29" s="1"/>
      <c r="O29" s="1"/>
    </row>
    <row r="30" spans="1:15" ht="14.25" customHeight="1" x14ac:dyDescent="0.3">
      <c r="A30" s="4">
        <v>44738</v>
      </c>
      <c r="D30" s="10">
        <f t="shared" si="3"/>
        <v>0</v>
      </c>
      <c r="E30" s="1"/>
      <c r="G30" s="1">
        <f t="shared" si="2"/>
        <v>0</v>
      </c>
      <c r="H30" s="1">
        <f t="shared" si="4"/>
        <v>0</v>
      </c>
      <c r="I30" s="1">
        <f t="shared" si="5"/>
        <v>0</v>
      </c>
      <c r="J30" s="5"/>
      <c r="K30" s="5"/>
      <c r="L30" s="1"/>
      <c r="O30" s="1"/>
    </row>
    <row r="31" spans="1:15" ht="14.25" customHeight="1" x14ac:dyDescent="0.3">
      <c r="A31" s="4">
        <v>44739</v>
      </c>
      <c r="D31" s="10">
        <f t="shared" si="3"/>
        <v>0</v>
      </c>
      <c r="E31" s="1"/>
      <c r="G31" s="1">
        <f t="shared" si="2"/>
        <v>0</v>
      </c>
      <c r="H31" s="1">
        <f t="shared" si="4"/>
        <v>0</v>
      </c>
      <c r="I31" s="1">
        <f t="shared" si="5"/>
        <v>0</v>
      </c>
      <c r="J31" s="5"/>
      <c r="K31" s="5"/>
      <c r="L31" s="1"/>
      <c r="O31" s="1"/>
    </row>
    <row r="32" spans="1:15" ht="14.25" customHeight="1" x14ac:dyDescent="0.3">
      <c r="A32" s="4">
        <v>44740</v>
      </c>
      <c r="D32" s="10">
        <f t="shared" si="3"/>
        <v>0</v>
      </c>
      <c r="E32" s="1"/>
      <c r="G32" s="1">
        <f t="shared" si="2"/>
        <v>0</v>
      </c>
      <c r="H32" s="1">
        <f t="shared" si="4"/>
        <v>0</v>
      </c>
      <c r="I32" s="1">
        <f t="shared" si="5"/>
        <v>0</v>
      </c>
      <c r="J32" s="5"/>
      <c r="K32" s="5"/>
      <c r="L32" s="1"/>
      <c r="O32" s="1"/>
    </row>
    <row r="33" spans="1:15" ht="14.25" customHeight="1" x14ac:dyDescent="0.3">
      <c r="A33" s="4">
        <v>44741</v>
      </c>
      <c r="D33" s="10">
        <f t="shared" si="3"/>
        <v>0</v>
      </c>
      <c r="E33" s="1"/>
      <c r="G33" s="1">
        <f t="shared" si="2"/>
        <v>0</v>
      </c>
      <c r="H33" s="1">
        <f t="shared" si="4"/>
        <v>0</v>
      </c>
      <c r="I33" s="1">
        <f t="shared" si="5"/>
        <v>0</v>
      </c>
      <c r="J33" s="5"/>
      <c r="K33" s="5"/>
      <c r="L33" s="1"/>
      <c r="O33" s="1"/>
    </row>
    <row r="34" spans="1:15" ht="14.25" customHeight="1" x14ac:dyDescent="0.3">
      <c r="A34" s="4">
        <v>44742</v>
      </c>
      <c r="D34" s="10">
        <f t="shared" si="3"/>
        <v>0</v>
      </c>
      <c r="E34" s="1"/>
      <c r="G34" s="1">
        <f t="shared" si="2"/>
        <v>0</v>
      </c>
      <c r="H34" s="1">
        <f t="shared" si="4"/>
        <v>0</v>
      </c>
      <c r="I34" s="1">
        <f t="shared" si="5"/>
        <v>0</v>
      </c>
      <c r="J34" s="5"/>
      <c r="K34" s="5"/>
      <c r="L34" s="1"/>
      <c r="O34" s="1"/>
    </row>
    <row r="35" spans="1:15" ht="14.25" customHeight="1" x14ac:dyDescent="0.3">
      <c r="A35" s="4"/>
      <c r="E35" s="11"/>
      <c r="F35" s="11"/>
      <c r="G35" s="1"/>
      <c r="H35" s="1"/>
      <c r="I35" s="1"/>
      <c r="J35" s="5"/>
      <c r="K35" s="5"/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684C-DB7F-488E-A07D-53F83FF77886}">
  <dimension ref="A1:T100"/>
  <sheetViews>
    <sheetView zoomScale="90" zoomScaleNormal="90" workbookViewId="0">
      <pane ySplit="3" topLeftCell="A8" activePane="bottomLeft" state="frozen"/>
      <selection pane="bottomLeft" activeCell="Q26" sqref="Q26"/>
    </sheetView>
  </sheetViews>
  <sheetFormatPr baseColWidth="10" defaultColWidth="14.44140625" defaultRowHeight="15" customHeight="1" x14ac:dyDescent="0.3"/>
  <cols>
    <col min="1" max="6" width="10.6640625" style="12" customWidth="1"/>
    <col min="7" max="9" width="11.5546875" style="12" customWidth="1"/>
    <col min="10" max="10" width="10.6640625" style="12" customWidth="1"/>
    <col min="11" max="11" width="12" style="12" customWidth="1"/>
    <col min="12" max="13" width="10.6640625" style="12" customWidth="1"/>
    <col min="14" max="14" width="18" style="12" customWidth="1"/>
    <col min="15" max="15" width="11.5546875" style="12" customWidth="1"/>
    <col min="16" max="20" width="10.6640625" style="12" customWidth="1"/>
    <col min="21" max="16384" width="14.44140625" style="12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803</v>
      </c>
      <c r="E3" s="3">
        <f t="shared" si="0"/>
        <v>209.21</v>
      </c>
      <c r="F3" s="3">
        <f t="shared" si="0"/>
        <v>35</v>
      </c>
      <c r="G3" s="3">
        <f t="shared" si="0"/>
        <v>40.15</v>
      </c>
      <c r="H3" s="3">
        <f t="shared" si="0"/>
        <v>4.8180000000000005</v>
      </c>
      <c r="I3" s="3">
        <f t="shared" si="0"/>
        <v>164.24200000000002</v>
      </c>
      <c r="J3" s="3">
        <f t="shared" ref="J3:K3" si="1">AVERAGE(J4:J34)</f>
        <v>4.5593399999999997</v>
      </c>
      <c r="K3" s="3">
        <f t="shared" si="1"/>
        <v>19.83346749770045</v>
      </c>
      <c r="M3" s="2"/>
      <c r="N3" s="2"/>
      <c r="O3" s="3">
        <f>SUM(O4:O35)</f>
        <v>182</v>
      </c>
      <c r="P3" s="7">
        <v>0.05</v>
      </c>
      <c r="Q3" s="8">
        <v>2.4</v>
      </c>
      <c r="R3" s="12">
        <v>43</v>
      </c>
      <c r="S3" s="12">
        <v>5000</v>
      </c>
      <c r="T3" s="12">
        <v>30</v>
      </c>
    </row>
    <row r="4" spans="1:20" ht="14.25" customHeight="1" x14ac:dyDescent="0.3">
      <c r="A4" s="4"/>
      <c r="E4" s="1"/>
      <c r="G4" s="1">
        <f t="shared" ref="G4:G34" si="2">D4*$P$3</f>
        <v>0</v>
      </c>
      <c r="H4" s="1"/>
      <c r="I4" s="1"/>
      <c r="O4" s="1"/>
    </row>
    <row r="5" spans="1:20" ht="14.25" customHeight="1" x14ac:dyDescent="0.3">
      <c r="A5" s="4">
        <v>44743</v>
      </c>
      <c r="D5" s="12">
        <f t="shared" ref="D5:D35" si="3">C5-B5</f>
        <v>0</v>
      </c>
      <c r="E5" s="1"/>
      <c r="G5" s="1">
        <f t="shared" si="2"/>
        <v>0</v>
      </c>
      <c r="H5" s="1">
        <f t="shared" ref="H5:H34" si="4">(D5*$T$3)/$S$3</f>
        <v>0</v>
      </c>
      <c r="I5" s="1">
        <f t="shared" ref="I5:I34" si="5">E5-G5-H5</f>
        <v>0</v>
      </c>
      <c r="J5" s="5"/>
      <c r="K5" s="5"/>
      <c r="O5" s="1"/>
    </row>
    <row r="6" spans="1:20" ht="14.25" customHeight="1" x14ac:dyDescent="0.3">
      <c r="A6" s="4">
        <v>44744</v>
      </c>
      <c r="D6" s="12">
        <f t="shared" si="3"/>
        <v>0</v>
      </c>
      <c r="E6" s="1"/>
      <c r="G6" s="1">
        <f t="shared" si="2"/>
        <v>0</v>
      </c>
      <c r="H6" s="1">
        <f t="shared" si="4"/>
        <v>0</v>
      </c>
      <c r="I6" s="1">
        <f t="shared" si="5"/>
        <v>0</v>
      </c>
      <c r="J6" s="5"/>
      <c r="K6" s="5"/>
      <c r="O6" s="1"/>
    </row>
    <row r="7" spans="1:20" ht="14.25" customHeight="1" x14ac:dyDescent="0.3">
      <c r="A7" s="4">
        <v>44745</v>
      </c>
      <c r="D7" s="12">
        <f t="shared" si="3"/>
        <v>0</v>
      </c>
      <c r="E7" s="1"/>
      <c r="G7" s="1">
        <f t="shared" si="2"/>
        <v>0</v>
      </c>
      <c r="H7" s="1">
        <f t="shared" si="4"/>
        <v>0</v>
      </c>
      <c r="I7" s="1">
        <f t="shared" si="5"/>
        <v>0</v>
      </c>
      <c r="J7" s="5"/>
      <c r="K7" s="5"/>
      <c r="O7" s="1"/>
    </row>
    <row r="8" spans="1:20" ht="14.25" customHeight="1" x14ac:dyDescent="0.3">
      <c r="A8" s="4">
        <v>44746</v>
      </c>
      <c r="D8" s="12">
        <f t="shared" si="3"/>
        <v>0</v>
      </c>
      <c r="E8" s="1"/>
      <c r="G8" s="1">
        <f t="shared" si="2"/>
        <v>0</v>
      </c>
      <c r="H8" s="1">
        <f t="shared" si="4"/>
        <v>0</v>
      </c>
      <c r="I8" s="1">
        <f t="shared" si="5"/>
        <v>0</v>
      </c>
      <c r="J8" s="5"/>
      <c r="K8" s="5"/>
      <c r="O8" s="1"/>
    </row>
    <row r="9" spans="1:20" ht="14.25" customHeight="1" x14ac:dyDescent="0.3">
      <c r="A9" s="4">
        <v>44747</v>
      </c>
      <c r="B9" s="12">
        <v>96753</v>
      </c>
      <c r="C9" s="12">
        <v>96807</v>
      </c>
      <c r="D9" s="12">
        <f t="shared" si="3"/>
        <v>54</v>
      </c>
      <c r="E9" s="1">
        <v>15.04</v>
      </c>
      <c r="F9" s="12">
        <v>4</v>
      </c>
      <c r="G9" s="1">
        <f t="shared" si="2"/>
        <v>2.7</v>
      </c>
      <c r="H9" s="1">
        <f t="shared" si="4"/>
        <v>0.32400000000000001</v>
      </c>
      <c r="I9" s="1">
        <f t="shared" si="5"/>
        <v>12.016</v>
      </c>
      <c r="J9" s="5">
        <f t="shared" ref="J9" si="6">I9/F9</f>
        <v>3.004</v>
      </c>
      <c r="K9" s="5">
        <f t="shared" ref="K9" si="7">(G9*100)/E9</f>
        <v>17.952127659574469</v>
      </c>
      <c r="M9" s="12">
        <v>96753</v>
      </c>
      <c r="N9" s="12" t="s">
        <v>24</v>
      </c>
      <c r="O9" s="1">
        <v>115</v>
      </c>
    </row>
    <row r="10" spans="1:20" ht="14.25" customHeight="1" x14ac:dyDescent="0.3">
      <c r="A10" s="4">
        <v>44748</v>
      </c>
      <c r="B10" s="12">
        <v>96810</v>
      </c>
      <c r="C10" s="12">
        <v>96892</v>
      </c>
      <c r="D10" s="12">
        <f t="shared" si="3"/>
        <v>82</v>
      </c>
      <c r="E10" s="1">
        <v>33.380000000000003</v>
      </c>
      <c r="F10" s="12">
        <v>4.5</v>
      </c>
      <c r="G10" s="1">
        <f t="shared" si="2"/>
        <v>4.1000000000000005</v>
      </c>
      <c r="H10" s="1">
        <f t="shared" si="4"/>
        <v>0.49199999999999999</v>
      </c>
      <c r="I10" s="1">
        <f t="shared" si="5"/>
        <v>28.788</v>
      </c>
      <c r="J10" s="5">
        <f t="shared" ref="J10:J35" si="8">I10/F10</f>
        <v>6.3973333333333331</v>
      </c>
      <c r="K10" s="5">
        <f t="shared" ref="K10:K35" si="9">(G10*100)/E10</f>
        <v>12.282804074295987</v>
      </c>
      <c r="L10" s="1"/>
      <c r="M10" s="12">
        <v>96810</v>
      </c>
      <c r="N10" s="12" t="s">
        <v>19</v>
      </c>
      <c r="O10" s="1">
        <v>24</v>
      </c>
    </row>
    <row r="11" spans="1:20" ht="14.25" customHeight="1" x14ac:dyDescent="0.3">
      <c r="A11" s="4">
        <v>44749</v>
      </c>
      <c r="D11" s="12">
        <f t="shared" si="3"/>
        <v>0</v>
      </c>
      <c r="E11" s="1"/>
      <c r="G11" s="1">
        <f t="shared" si="2"/>
        <v>0</v>
      </c>
      <c r="H11" s="1">
        <f t="shared" si="4"/>
        <v>0</v>
      </c>
      <c r="I11" s="1">
        <f t="shared" si="5"/>
        <v>0</v>
      </c>
      <c r="J11" s="5"/>
      <c r="K11" s="5"/>
      <c r="L11" s="1"/>
      <c r="O11" s="1"/>
    </row>
    <row r="12" spans="1:20" ht="14.25" customHeight="1" x14ac:dyDescent="0.3">
      <c r="A12" s="4">
        <v>44750</v>
      </c>
      <c r="B12" s="12">
        <v>96951</v>
      </c>
      <c r="C12" s="12">
        <v>97000</v>
      </c>
      <c r="D12" s="12">
        <f t="shared" si="3"/>
        <v>49</v>
      </c>
      <c r="E12" s="1">
        <v>13.72</v>
      </c>
      <c r="F12" s="12">
        <v>2</v>
      </c>
      <c r="G12" s="1">
        <f t="shared" si="2"/>
        <v>2.4500000000000002</v>
      </c>
      <c r="H12" s="1">
        <f t="shared" si="4"/>
        <v>0.29399999999999998</v>
      </c>
      <c r="I12" s="1">
        <f t="shared" si="5"/>
        <v>10.975999999999999</v>
      </c>
      <c r="J12" s="5">
        <f t="shared" si="8"/>
        <v>5.4879999999999995</v>
      </c>
      <c r="K12" s="5">
        <f t="shared" si="9"/>
        <v>17.857142857142858</v>
      </c>
      <c r="L12" s="1"/>
      <c r="O12" s="1"/>
    </row>
    <row r="13" spans="1:20" ht="14.25" customHeight="1" x14ac:dyDescent="0.3">
      <c r="A13" s="4">
        <v>44751</v>
      </c>
      <c r="D13" s="12">
        <f t="shared" si="3"/>
        <v>0</v>
      </c>
      <c r="E13" s="1"/>
      <c r="G13" s="1">
        <f t="shared" si="2"/>
        <v>0</v>
      </c>
      <c r="H13" s="1">
        <f t="shared" si="4"/>
        <v>0</v>
      </c>
      <c r="I13" s="1">
        <f t="shared" si="5"/>
        <v>0</v>
      </c>
      <c r="J13" s="5"/>
      <c r="K13" s="5"/>
      <c r="L13" s="1"/>
      <c r="O13" s="1"/>
    </row>
    <row r="14" spans="1:20" ht="14.25" customHeight="1" x14ac:dyDescent="0.3">
      <c r="A14" s="4">
        <v>44752</v>
      </c>
      <c r="D14" s="12">
        <f t="shared" si="3"/>
        <v>0</v>
      </c>
      <c r="E14" s="1"/>
      <c r="G14" s="1">
        <f t="shared" si="2"/>
        <v>0</v>
      </c>
      <c r="H14" s="1">
        <f t="shared" si="4"/>
        <v>0</v>
      </c>
      <c r="I14" s="1">
        <f t="shared" si="5"/>
        <v>0</v>
      </c>
      <c r="J14" s="5"/>
      <c r="K14" s="5"/>
      <c r="L14" s="1"/>
      <c r="O14" s="1"/>
    </row>
    <row r="15" spans="1:20" ht="14.25" customHeight="1" x14ac:dyDescent="0.3">
      <c r="A15" s="4">
        <v>44753</v>
      </c>
      <c r="D15" s="12">
        <f t="shared" si="3"/>
        <v>0</v>
      </c>
      <c r="E15" s="1"/>
      <c r="G15" s="1">
        <f t="shared" si="2"/>
        <v>0</v>
      </c>
      <c r="H15" s="1">
        <f t="shared" si="4"/>
        <v>0</v>
      </c>
      <c r="I15" s="1">
        <f t="shared" si="5"/>
        <v>0</v>
      </c>
      <c r="J15" s="5"/>
      <c r="K15" s="5"/>
      <c r="L15" s="1"/>
      <c r="O15" s="1"/>
    </row>
    <row r="16" spans="1:20" ht="14.25" customHeight="1" x14ac:dyDescent="0.3">
      <c r="A16" s="4">
        <v>44754</v>
      </c>
      <c r="B16" s="12">
        <v>97270</v>
      </c>
      <c r="C16" s="12">
        <v>97315</v>
      </c>
      <c r="D16" s="12">
        <f t="shared" si="3"/>
        <v>45</v>
      </c>
      <c r="E16" s="1">
        <v>11.77</v>
      </c>
      <c r="F16" s="12">
        <v>3</v>
      </c>
      <c r="G16" s="1">
        <f t="shared" si="2"/>
        <v>2.25</v>
      </c>
      <c r="H16" s="1">
        <f t="shared" si="4"/>
        <v>0.27</v>
      </c>
      <c r="I16" s="1">
        <f t="shared" si="5"/>
        <v>9.25</v>
      </c>
      <c r="J16" s="5">
        <f t="shared" si="8"/>
        <v>3.0833333333333335</v>
      </c>
      <c r="K16" s="5">
        <f t="shared" si="9"/>
        <v>19.116397621070519</v>
      </c>
      <c r="L16" s="1"/>
      <c r="O16" s="1"/>
    </row>
    <row r="17" spans="1:16" ht="14.25" customHeight="1" x14ac:dyDescent="0.3">
      <c r="A17" s="4">
        <v>44755</v>
      </c>
      <c r="D17" s="12">
        <f t="shared" si="3"/>
        <v>0</v>
      </c>
      <c r="E17" s="1"/>
      <c r="G17" s="1">
        <f t="shared" si="2"/>
        <v>0</v>
      </c>
      <c r="H17" s="1">
        <f t="shared" si="4"/>
        <v>0</v>
      </c>
      <c r="I17" s="1">
        <f t="shared" si="5"/>
        <v>0</v>
      </c>
      <c r="J17" s="5"/>
      <c r="K17" s="5"/>
      <c r="L17" s="1"/>
      <c r="M17" s="12">
        <v>97321</v>
      </c>
      <c r="N17" s="12" t="s">
        <v>19</v>
      </c>
      <c r="O17" s="1"/>
    </row>
    <row r="18" spans="1:16" ht="14.25" customHeight="1" x14ac:dyDescent="0.3">
      <c r="A18" s="4">
        <v>44756</v>
      </c>
      <c r="B18" s="12">
        <v>97574</v>
      </c>
      <c r="C18" s="12">
        <v>97658</v>
      </c>
      <c r="D18" s="12">
        <f t="shared" si="3"/>
        <v>84</v>
      </c>
      <c r="E18" s="1">
        <v>29.91</v>
      </c>
      <c r="F18" s="12">
        <v>5</v>
      </c>
      <c r="G18" s="1">
        <f t="shared" si="2"/>
        <v>4.2</v>
      </c>
      <c r="H18" s="1">
        <f t="shared" si="4"/>
        <v>0.504</v>
      </c>
      <c r="I18" s="1">
        <f t="shared" si="5"/>
        <v>25.206</v>
      </c>
      <c r="J18" s="5">
        <f t="shared" si="8"/>
        <v>5.0411999999999999</v>
      </c>
      <c r="K18" s="5">
        <f t="shared" si="9"/>
        <v>14.042126379137413</v>
      </c>
      <c r="L18" s="1"/>
      <c r="O18" s="1"/>
    </row>
    <row r="19" spans="1:16" ht="14.25" customHeight="1" x14ac:dyDescent="0.3">
      <c r="A19" s="4">
        <v>44757</v>
      </c>
      <c r="D19" s="12">
        <f t="shared" si="3"/>
        <v>0</v>
      </c>
      <c r="E19" s="1"/>
      <c r="G19" s="1">
        <f t="shared" si="2"/>
        <v>0</v>
      </c>
      <c r="H19" s="1">
        <f t="shared" si="4"/>
        <v>0</v>
      </c>
      <c r="I19" s="1">
        <f t="shared" si="5"/>
        <v>0</v>
      </c>
      <c r="J19" s="5"/>
      <c r="K19" s="5"/>
      <c r="L19" s="1"/>
      <c r="O19" s="1"/>
    </row>
    <row r="20" spans="1:16" ht="14.25" customHeight="1" x14ac:dyDescent="0.3">
      <c r="A20" s="4">
        <v>44758</v>
      </c>
      <c r="D20" s="12">
        <f t="shared" si="3"/>
        <v>0</v>
      </c>
      <c r="E20" s="1"/>
      <c r="G20" s="1">
        <f t="shared" si="2"/>
        <v>0</v>
      </c>
      <c r="H20" s="1">
        <f t="shared" si="4"/>
        <v>0</v>
      </c>
      <c r="I20" s="1">
        <f t="shared" si="5"/>
        <v>0</v>
      </c>
      <c r="J20" s="5"/>
      <c r="K20" s="5"/>
      <c r="L20" s="1"/>
      <c r="O20" s="1"/>
    </row>
    <row r="21" spans="1:16" ht="14.25" customHeight="1" x14ac:dyDescent="0.3">
      <c r="A21" s="4">
        <v>44759</v>
      </c>
      <c r="D21" s="12">
        <f t="shared" si="3"/>
        <v>0</v>
      </c>
      <c r="E21" s="1"/>
      <c r="G21" s="1">
        <f t="shared" si="2"/>
        <v>0</v>
      </c>
      <c r="H21" s="1">
        <f t="shared" si="4"/>
        <v>0</v>
      </c>
      <c r="I21" s="1">
        <f t="shared" si="5"/>
        <v>0</v>
      </c>
      <c r="J21" s="5"/>
      <c r="K21" s="5"/>
      <c r="L21" s="1"/>
      <c r="M21" s="12">
        <v>97855</v>
      </c>
      <c r="N21" s="12" t="s">
        <v>19</v>
      </c>
      <c r="O21" s="8">
        <v>22</v>
      </c>
    </row>
    <row r="22" spans="1:16" ht="14.25" customHeight="1" x14ac:dyDescent="0.3">
      <c r="A22" s="4">
        <v>44760</v>
      </c>
      <c r="D22" s="12">
        <f t="shared" si="3"/>
        <v>0</v>
      </c>
      <c r="E22" s="1"/>
      <c r="G22" s="1">
        <f t="shared" si="2"/>
        <v>0</v>
      </c>
      <c r="H22" s="1">
        <f t="shared" si="4"/>
        <v>0</v>
      </c>
      <c r="I22" s="1">
        <f t="shared" si="5"/>
        <v>0</v>
      </c>
      <c r="J22" s="5"/>
      <c r="K22" s="5"/>
      <c r="L22" s="1"/>
      <c r="O22" s="1"/>
    </row>
    <row r="23" spans="1:16" ht="14.25" customHeight="1" x14ac:dyDescent="0.3">
      <c r="A23" s="4">
        <v>44761</v>
      </c>
      <c r="B23" s="12">
        <v>97994</v>
      </c>
      <c r="C23" s="12">
        <v>98059</v>
      </c>
      <c r="D23" s="12">
        <f t="shared" si="3"/>
        <v>65</v>
      </c>
      <c r="E23" s="1">
        <v>13.25</v>
      </c>
      <c r="F23" s="12">
        <v>2.5</v>
      </c>
      <c r="G23" s="1">
        <f t="shared" si="2"/>
        <v>3.25</v>
      </c>
      <c r="H23" s="1">
        <f t="shared" si="4"/>
        <v>0.39</v>
      </c>
      <c r="I23" s="1">
        <f t="shared" si="5"/>
        <v>9.61</v>
      </c>
      <c r="J23" s="5">
        <f t="shared" si="8"/>
        <v>3.8439999999999999</v>
      </c>
      <c r="K23" s="5">
        <f t="shared" si="9"/>
        <v>24.528301886792452</v>
      </c>
      <c r="L23" s="1"/>
      <c r="O23" s="1"/>
    </row>
    <row r="24" spans="1:16" ht="14.25" customHeight="1" x14ac:dyDescent="0.3">
      <c r="A24" s="4">
        <v>44762</v>
      </c>
      <c r="D24" s="12">
        <f t="shared" si="3"/>
        <v>0</v>
      </c>
      <c r="E24" s="1"/>
      <c r="G24" s="1">
        <f t="shared" si="2"/>
        <v>0</v>
      </c>
      <c r="H24" s="1">
        <f t="shared" si="4"/>
        <v>0</v>
      </c>
      <c r="I24" s="1">
        <f t="shared" si="5"/>
        <v>0</v>
      </c>
      <c r="J24" s="5"/>
      <c r="K24" s="5"/>
      <c r="L24" s="1"/>
      <c r="O24" s="1"/>
    </row>
    <row r="25" spans="1:16" ht="14.25" customHeight="1" x14ac:dyDescent="0.3">
      <c r="A25" s="4">
        <v>44763</v>
      </c>
      <c r="D25" s="12">
        <f t="shared" si="3"/>
        <v>0</v>
      </c>
      <c r="E25" s="1"/>
      <c r="G25" s="1">
        <f t="shared" si="2"/>
        <v>0</v>
      </c>
      <c r="H25" s="1">
        <f t="shared" si="4"/>
        <v>0</v>
      </c>
      <c r="I25" s="1">
        <f t="shared" si="5"/>
        <v>0</v>
      </c>
      <c r="J25" s="5"/>
      <c r="K25" s="5"/>
      <c r="L25" s="1"/>
      <c r="O25" s="1"/>
    </row>
    <row r="26" spans="1:16" ht="14.25" customHeight="1" x14ac:dyDescent="0.3">
      <c r="A26" s="4">
        <v>44764</v>
      </c>
      <c r="D26" s="12">
        <f t="shared" si="3"/>
        <v>0</v>
      </c>
      <c r="E26" s="1"/>
      <c r="G26" s="1">
        <f t="shared" si="2"/>
        <v>0</v>
      </c>
      <c r="H26" s="1">
        <f t="shared" si="4"/>
        <v>0</v>
      </c>
      <c r="I26" s="1">
        <f t="shared" si="5"/>
        <v>0</v>
      </c>
      <c r="J26" s="5"/>
      <c r="K26" s="5"/>
      <c r="L26" s="1"/>
      <c r="O26" s="1"/>
    </row>
    <row r="27" spans="1:16" ht="14.25" customHeight="1" x14ac:dyDescent="0.3">
      <c r="A27" s="4">
        <v>44765</v>
      </c>
      <c r="D27" s="12">
        <f t="shared" si="3"/>
        <v>0</v>
      </c>
      <c r="E27" s="1"/>
      <c r="G27" s="1">
        <f t="shared" si="2"/>
        <v>0</v>
      </c>
      <c r="H27" s="1">
        <f t="shared" si="4"/>
        <v>0</v>
      </c>
      <c r="I27" s="1">
        <f t="shared" si="5"/>
        <v>0</v>
      </c>
      <c r="J27" s="5"/>
      <c r="K27" s="5"/>
      <c r="L27" s="1"/>
      <c r="O27" s="1"/>
    </row>
    <row r="28" spans="1:16" ht="14.25" customHeight="1" x14ac:dyDescent="0.3">
      <c r="A28" s="4">
        <v>44766</v>
      </c>
      <c r="D28" s="12">
        <f t="shared" si="3"/>
        <v>0</v>
      </c>
      <c r="E28" s="1"/>
      <c r="G28" s="1">
        <f t="shared" si="2"/>
        <v>0</v>
      </c>
      <c r="H28" s="1">
        <f t="shared" si="4"/>
        <v>0</v>
      </c>
      <c r="I28" s="1">
        <f t="shared" si="5"/>
        <v>0</v>
      </c>
      <c r="J28" s="5"/>
      <c r="K28" s="5"/>
      <c r="L28" s="1"/>
      <c r="O28" s="1"/>
    </row>
    <row r="29" spans="1:16" ht="14.25" customHeight="1" x14ac:dyDescent="0.3">
      <c r="A29" s="4">
        <v>44767</v>
      </c>
      <c r="D29" s="12">
        <f t="shared" si="3"/>
        <v>0</v>
      </c>
      <c r="E29" s="1"/>
      <c r="G29" s="1">
        <f t="shared" si="2"/>
        <v>0</v>
      </c>
      <c r="H29" s="1">
        <f t="shared" si="4"/>
        <v>0</v>
      </c>
      <c r="I29" s="1">
        <f t="shared" si="5"/>
        <v>0</v>
      </c>
      <c r="J29" s="5"/>
      <c r="K29" s="5"/>
      <c r="L29" s="1"/>
      <c r="O29" s="1"/>
    </row>
    <row r="30" spans="1:16" ht="14.25" customHeight="1" x14ac:dyDescent="0.3">
      <c r="A30" s="4">
        <v>44768</v>
      </c>
      <c r="B30" s="12">
        <v>98157</v>
      </c>
      <c r="C30" s="12">
        <v>98251</v>
      </c>
      <c r="D30" s="12">
        <f t="shared" si="3"/>
        <v>94</v>
      </c>
      <c r="E30" s="1">
        <v>25.65</v>
      </c>
      <c r="F30" s="12">
        <v>5</v>
      </c>
      <c r="G30" s="1">
        <f t="shared" si="2"/>
        <v>4.7</v>
      </c>
      <c r="H30" s="1">
        <f t="shared" si="4"/>
        <v>0.56399999999999995</v>
      </c>
      <c r="I30" s="1">
        <f t="shared" si="5"/>
        <v>20.385999999999999</v>
      </c>
      <c r="J30" s="5">
        <f t="shared" si="8"/>
        <v>4.0771999999999995</v>
      </c>
      <c r="K30" s="5">
        <f t="shared" si="9"/>
        <v>18.323586744639378</v>
      </c>
      <c r="L30" s="1"/>
      <c r="O30" s="1"/>
    </row>
    <row r="31" spans="1:16" ht="14.25" customHeight="1" x14ac:dyDescent="0.3">
      <c r="A31" s="4">
        <v>44769</v>
      </c>
      <c r="B31" s="12">
        <v>98257</v>
      </c>
      <c r="C31" s="12">
        <v>98505</v>
      </c>
      <c r="D31" s="12">
        <f t="shared" si="3"/>
        <v>248</v>
      </c>
      <c r="E31" s="1">
        <v>48.93</v>
      </c>
      <c r="F31" s="12">
        <v>6</v>
      </c>
      <c r="G31" s="1">
        <f t="shared" si="2"/>
        <v>12.4</v>
      </c>
      <c r="H31" s="1">
        <f t="shared" si="4"/>
        <v>1.488</v>
      </c>
      <c r="I31" s="1">
        <f t="shared" si="5"/>
        <v>35.042000000000002</v>
      </c>
      <c r="J31" s="5">
        <f t="shared" si="8"/>
        <v>5.8403333333333336</v>
      </c>
      <c r="K31" s="5">
        <f t="shared" si="9"/>
        <v>25.342325771510321</v>
      </c>
      <c r="L31" s="1"/>
      <c r="M31" s="12">
        <v>98257</v>
      </c>
      <c r="N31" s="12" t="s">
        <v>19</v>
      </c>
      <c r="O31" s="1">
        <v>21</v>
      </c>
      <c r="P31" s="12">
        <v>402</v>
      </c>
    </row>
    <row r="32" spans="1:16" ht="14.25" customHeight="1" x14ac:dyDescent="0.3">
      <c r="A32" s="4">
        <v>44770</v>
      </c>
      <c r="B32" s="12">
        <v>98505</v>
      </c>
      <c r="C32" s="12">
        <v>98545</v>
      </c>
      <c r="D32" s="12">
        <f t="shared" si="3"/>
        <v>40</v>
      </c>
      <c r="E32" s="1">
        <v>10.54</v>
      </c>
      <c r="F32" s="12">
        <v>2</v>
      </c>
      <c r="G32" s="1">
        <f t="shared" si="2"/>
        <v>2</v>
      </c>
      <c r="H32" s="1">
        <f t="shared" si="4"/>
        <v>0.24</v>
      </c>
      <c r="I32" s="1">
        <f t="shared" si="5"/>
        <v>8.2999999999999989</v>
      </c>
      <c r="J32" s="5">
        <f t="shared" si="8"/>
        <v>4.1499999999999995</v>
      </c>
      <c r="K32" s="5">
        <f t="shared" si="9"/>
        <v>18.975332068311197</v>
      </c>
      <c r="L32" s="1"/>
      <c r="O32" s="1"/>
    </row>
    <row r="33" spans="1:15" ht="14.25" customHeight="1" x14ac:dyDescent="0.3">
      <c r="A33" s="4">
        <v>44771</v>
      </c>
      <c r="B33" s="12">
        <v>98561</v>
      </c>
      <c r="C33" s="12">
        <v>98603</v>
      </c>
      <c r="D33" s="12">
        <f t="shared" si="3"/>
        <v>42</v>
      </c>
      <c r="E33" s="1">
        <v>7.02</v>
      </c>
      <c r="F33" s="12">
        <v>1</v>
      </c>
      <c r="G33" s="1">
        <f t="shared" si="2"/>
        <v>2.1</v>
      </c>
      <c r="H33" s="1">
        <f t="shared" si="4"/>
        <v>0.252</v>
      </c>
      <c r="I33" s="1">
        <f t="shared" si="5"/>
        <v>4.6680000000000001</v>
      </c>
      <c r="J33" s="5">
        <f t="shared" si="8"/>
        <v>4.6680000000000001</v>
      </c>
      <c r="K33" s="5">
        <f t="shared" si="9"/>
        <v>29.914529914529915</v>
      </c>
      <c r="L33" s="1"/>
      <c r="O33" s="1"/>
    </row>
    <row r="34" spans="1:15" ht="14.25" customHeight="1" x14ac:dyDescent="0.3">
      <c r="A34" s="4">
        <v>44772</v>
      </c>
      <c r="D34" s="12">
        <f t="shared" si="3"/>
        <v>0</v>
      </c>
      <c r="E34" s="1"/>
      <c r="G34" s="1">
        <f t="shared" si="2"/>
        <v>0</v>
      </c>
      <c r="H34" s="1">
        <f t="shared" si="4"/>
        <v>0</v>
      </c>
      <c r="I34" s="1">
        <f t="shared" si="5"/>
        <v>0</v>
      </c>
      <c r="J34" s="5"/>
      <c r="K34" s="5"/>
      <c r="L34" s="1"/>
      <c r="O34" s="1"/>
    </row>
    <row r="35" spans="1:15" ht="14.25" customHeight="1" x14ac:dyDescent="0.3">
      <c r="A35" s="4">
        <v>44773</v>
      </c>
      <c r="B35" s="12">
        <v>98660</v>
      </c>
      <c r="C35" s="12">
        <v>98700</v>
      </c>
      <c r="D35" s="12">
        <f t="shared" si="3"/>
        <v>40</v>
      </c>
      <c r="E35" s="1">
        <v>9.23</v>
      </c>
      <c r="F35" s="12">
        <v>1</v>
      </c>
      <c r="G35" s="1">
        <f t="shared" ref="G35" si="10">D35*$P$3</f>
        <v>2</v>
      </c>
      <c r="H35" s="1">
        <f t="shared" ref="H35" si="11">(D35*$T$3)/$S$3</f>
        <v>0.24</v>
      </c>
      <c r="I35" s="1">
        <f t="shared" ref="I35" si="12">E35-G35-H35</f>
        <v>6.99</v>
      </c>
      <c r="J35" s="5">
        <f t="shared" si="8"/>
        <v>6.99</v>
      </c>
      <c r="K35" s="5">
        <f t="shared" si="9"/>
        <v>21.668472372697725</v>
      </c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D92A-4255-4610-88E6-EAD3EA6E8A9F}">
  <dimension ref="A1:T100"/>
  <sheetViews>
    <sheetView zoomScale="90" zoomScaleNormal="90" workbookViewId="0">
      <pane ySplit="3" topLeftCell="A4" activePane="bottomLeft" state="frozen"/>
      <selection pane="bottomLeft" activeCell="K4" sqref="K4"/>
    </sheetView>
  </sheetViews>
  <sheetFormatPr baseColWidth="10" defaultColWidth="14.44140625" defaultRowHeight="15" customHeight="1" x14ac:dyDescent="0.3"/>
  <cols>
    <col min="1" max="6" width="10.6640625" style="13" customWidth="1"/>
    <col min="7" max="9" width="11.5546875" style="13" customWidth="1"/>
    <col min="10" max="10" width="10.6640625" style="13" customWidth="1"/>
    <col min="11" max="11" width="12.21875" style="13" customWidth="1"/>
    <col min="12" max="13" width="10.6640625" style="13" customWidth="1"/>
    <col min="14" max="14" width="18" style="13" customWidth="1"/>
    <col min="15" max="15" width="11.5546875" style="13" customWidth="1"/>
    <col min="16" max="20" width="10.6640625" style="13" customWidth="1"/>
    <col min="21" max="16384" width="14.44140625" style="13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SUM(D4:D35)</f>
        <v>1475</v>
      </c>
      <c r="E3" s="3">
        <f t="shared" si="0"/>
        <v>532.42999999999995</v>
      </c>
      <c r="F3" s="3">
        <f t="shared" si="0"/>
        <v>81.5</v>
      </c>
      <c r="G3" s="3">
        <f t="shared" si="0"/>
        <v>73.75</v>
      </c>
      <c r="H3" s="3">
        <f t="shared" si="0"/>
        <v>8.85</v>
      </c>
      <c r="I3" s="3">
        <f t="shared" si="0"/>
        <v>449.83000000000004</v>
      </c>
      <c r="J3" s="3">
        <f>AVERAGE(J4:J35)</f>
        <v>5.3281247436773755</v>
      </c>
      <c r="K3" s="3">
        <f>AVERAGE(K4:K35)</f>
        <v>14.903429516683829</v>
      </c>
      <c r="M3" s="2"/>
      <c r="N3" s="2"/>
      <c r="O3" s="3">
        <f>SUM(O4:O35)</f>
        <v>164</v>
      </c>
      <c r="P3" s="7">
        <v>0.05</v>
      </c>
      <c r="Q3" s="8">
        <v>2.4</v>
      </c>
      <c r="R3" s="13">
        <v>43</v>
      </c>
      <c r="S3" s="13">
        <v>5000</v>
      </c>
      <c r="T3" s="13">
        <v>30</v>
      </c>
    </row>
    <row r="4" spans="1:20" ht="14.25" customHeight="1" x14ac:dyDescent="0.3">
      <c r="A4" s="4"/>
      <c r="E4" s="1"/>
      <c r="G4" s="1">
        <f t="shared" ref="G4:G35" si="1">D4*$P$3</f>
        <v>0</v>
      </c>
      <c r="H4" s="1"/>
      <c r="I4" s="1"/>
      <c r="O4" s="1"/>
    </row>
    <row r="5" spans="1:20" ht="14.25" customHeight="1" x14ac:dyDescent="0.3">
      <c r="A5" s="4">
        <v>44774</v>
      </c>
      <c r="D5" s="13">
        <f t="shared" ref="D5:D35" si="2">C5-B5</f>
        <v>0</v>
      </c>
      <c r="E5" s="1"/>
      <c r="G5" s="1">
        <f t="shared" si="1"/>
        <v>0</v>
      </c>
      <c r="H5" s="1">
        <f t="shared" ref="H5:H35" si="3">(D5*$T$3)/$S$3</f>
        <v>0</v>
      </c>
      <c r="I5" s="1">
        <f t="shared" ref="I5:I35" si="4">E5-G5-H5</f>
        <v>0</v>
      </c>
      <c r="J5" s="5"/>
      <c r="K5" s="5"/>
      <c r="O5" s="1"/>
    </row>
    <row r="6" spans="1:20" ht="14.25" customHeight="1" x14ac:dyDescent="0.3">
      <c r="A6" s="4">
        <v>44775</v>
      </c>
      <c r="B6" s="13">
        <v>98725</v>
      </c>
      <c r="C6" s="13">
        <v>98791</v>
      </c>
      <c r="D6" s="13">
        <f t="shared" si="2"/>
        <v>66</v>
      </c>
      <c r="E6" s="1">
        <v>28.95</v>
      </c>
      <c r="F6" s="13">
        <v>4</v>
      </c>
      <c r="G6" s="1">
        <f t="shared" si="1"/>
        <v>3.3000000000000003</v>
      </c>
      <c r="H6" s="1">
        <f t="shared" si="3"/>
        <v>0.39600000000000002</v>
      </c>
      <c r="I6" s="1">
        <f t="shared" si="4"/>
        <v>25.253999999999998</v>
      </c>
      <c r="J6" s="5">
        <f t="shared" ref="J6:J35" si="5">I6/F6</f>
        <v>6.3134999999999994</v>
      </c>
      <c r="K6" s="5">
        <f t="shared" ref="K6:K35" si="6">(G6*100)/E6</f>
        <v>11.398963730569948</v>
      </c>
      <c r="M6" s="13">
        <v>98762</v>
      </c>
      <c r="N6" s="13" t="s">
        <v>19</v>
      </c>
      <c r="O6" s="1">
        <v>26</v>
      </c>
    </row>
    <row r="7" spans="1:20" ht="14.25" customHeight="1" x14ac:dyDescent="0.3">
      <c r="A7" s="4">
        <v>44776</v>
      </c>
      <c r="B7" s="13">
        <v>98792</v>
      </c>
      <c r="C7" s="13">
        <v>98874</v>
      </c>
      <c r="D7" s="13">
        <f t="shared" si="2"/>
        <v>82</v>
      </c>
      <c r="E7" s="1">
        <v>22.98</v>
      </c>
      <c r="F7" s="13">
        <v>4.5</v>
      </c>
      <c r="G7" s="1">
        <f t="shared" si="1"/>
        <v>4.1000000000000005</v>
      </c>
      <c r="H7" s="1">
        <f t="shared" si="3"/>
        <v>0.49199999999999999</v>
      </c>
      <c r="I7" s="1">
        <f t="shared" si="4"/>
        <v>18.387999999999998</v>
      </c>
      <c r="J7" s="5">
        <f t="shared" si="5"/>
        <v>4.0862222222222222</v>
      </c>
      <c r="K7" s="5">
        <f t="shared" si="6"/>
        <v>17.841601392515233</v>
      </c>
      <c r="O7" s="1"/>
    </row>
    <row r="8" spans="1:20" ht="14.25" customHeight="1" x14ac:dyDescent="0.3">
      <c r="A8" s="4">
        <v>44777</v>
      </c>
      <c r="B8" s="13">
        <v>98874</v>
      </c>
      <c r="C8" s="13">
        <v>98958</v>
      </c>
      <c r="D8" s="13">
        <f t="shared" si="2"/>
        <v>84</v>
      </c>
      <c r="E8" s="1">
        <v>21.33</v>
      </c>
      <c r="F8" s="13">
        <v>4.5</v>
      </c>
      <c r="G8" s="1">
        <f t="shared" si="1"/>
        <v>4.2</v>
      </c>
      <c r="H8" s="1">
        <f t="shared" si="3"/>
        <v>0.504</v>
      </c>
      <c r="I8" s="1">
        <f t="shared" si="4"/>
        <v>16.625999999999998</v>
      </c>
      <c r="J8" s="5">
        <f t="shared" si="5"/>
        <v>3.6946666666666661</v>
      </c>
      <c r="K8" s="5">
        <f t="shared" si="6"/>
        <v>19.690576652601969</v>
      </c>
      <c r="O8" s="1"/>
    </row>
    <row r="9" spans="1:20" ht="14.25" customHeight="1" x14ac:dyDescent="0.3">
      <c r="A9" s="4">
        <v>44778</v>
      </c>
      <c r="B9" s="13">
        <v>98958</v>
      </c>
      <c r="C9" s="13">
        <v>99039</v>
      </c>
      <c r="D9" s="13">
        <f t="shared" si="2"/>
        <v>81</v>
      </c>
      <c r="E9" s="1">
        <v>27.6</v>
      </c>
      <c r="F9" s="13">
        <v>5</v>
      </c>
      <c r="G9" s="1">
        <f t="shared" si="1"/>
        <v>4.05</v>
      </c>
      <c r="H9" s="1">
        <f t="shared" si="3"/>
        <v>0.48599999999999999</v>
      </c>
      <c r="I9" s="1">
        <f t="shared" si="4"/>
        <v>23.064</v>
      </c>
      <c r="J9" s="5">
        <f t="shared" si="5"/>
        <v>4.6128</v>
      </c>
      <c r="K9" s="5">
        <f t="shared" ref="K9:K13" si="7">(G9*100)/E9</f>
        <v>14.67391304347826</v>
      </c>
      <c r="O9" s="1"/>
    </row>
    <row r="10" spans="1:20" ht="14.25" customHeight="1" x14ac:dyDescent="0.3">
      <c r="A10" s="4">
        <v>44779</v>
      </c>
      <c r="B10" s="13">
        <v>99070</v>
      </c>
      <c r="C10" s="13">
        <v>99128</v>
      </c>
      <c r="D10" s="13">
        <f t="shared" si="2"/>
        <v>58</v>
      </c>
      <c r="E10" s="1">
        <v>14.07</v>
      </c>
      <c r="F10" s="13">
        <v>3</v>
      </c>
      <c r="G10" s="1">
        <f t="shared" si="1"/>
        <v>2.9000000000000004</v>
      </c>
      <c r="H10" s="1">
        <f t="shared" si="3"/>
        <v>0.34799999999999998</v>
      </c>
      <c r="I10" s="1">
        <f t="shared" si="4"/>
        <v>10.821999999999999</v>
      </c>
      <c r="J10" s="5">
        <f t="shared" si="5"/>
        <v>3.6073333333333331</v>
      </c>
      <c r="K10" s="5">
        <f t="shared" si="6"/>
        <v>20.611229566453449</v>
      </c>
      <c r="L10" s="1"/>
      <c r="O10" s="1"/>
    </row>
    <row r="11" spans="1:20" ht="14.25" customHeight="1" x14ac:dyDescent="0.3">
      <c r="A11" s="4">
        <v>44780</v>
      </c>
      <c r="D11" s="13">
        <f t="shared" si="2"/>
        <v>0</v>
      </c>
      <c r="E11" s="1"/>
      <c r="G11" s="1">
        <f t="shared" si="1"/>
        <v>0</v>
      </c>
      <c r="H11" s="1">
        <f t="shared" si="3"/>
        <v>0</v>
      </c>
      <c r="I11" s="1">
        <f t="shared" si="4"/>
        <v>0</v>
      </c>
      <c r="J11" s="5"/>
      <c r="K11" s="5"/>
      <c r="L11" s="1"/>
      <c r="M11" s="13">
        <v>99258</v>
      </c>
      <c r="N11" s="13" t="s">
        <v>19</v>
      </c>
      <c r="O11" s="1">
        <v>10</v>
      </c>
    </row>
    <row r="12" spans="1:20" ht="14.25" customHeight="1" x14ac:dyDescent="0.3">
      <c r="A12" s="4">
        <v>44781</v>
      </c>
      <c r="D12" s="13">
        <f t="shared" si="2"/>
        <v>0</v>
      </c>
      <c r="E12" s="1"/>
      <c r="G12" s="1">
        <f t="shared" si="1"/>
        <v>0</v>
      </c>
      <c r="H12" s="1">
        <f t="shared" si="3"/>
        <v>0</v>
      </c>
      <c r="I12" s="1">
        <f t="shared" si="4"/>
        <v>0</v>
      </c>
      <c r="J12" s="5"/>
      <c r="K12" s="5"/>
      <c r="L12" s="1"/>
      <c r="O12" s="1"/>
    </row>
    <row r="13" spans="1:20" ht="14.25" customHeight="1" x14ac:dyDescent="0.3">
      <c r="A13" s="4">
        <v>44782</v>
      </c>
      <c r="B13" s="13">
        <v>99405</v>
      </c>
      <c r="C13" s="13">
        <v>99487</v>
      </c>
      <c r="D13" s="13">
        <f t="shared" si="2"/>
        <v>82</v>
      </c>
      <c r="E13" s="1">
        <v>37.99</v>
      </c>
      <c r="F13" s="13">
        <v>6</v>
      </c>
      <c r="G13" s="1">
        <f t="shared" si="1"/>
        <v>4.1000000000000005</v>
      </c>
      <c r="H13" s="1">
        <f t="shared" si="3"/>
        <v>0.49199999999999999</v>
      </c>
      <c r="I13" s="1">
        <f t="shared" si="4"/>
        <v>33.398000000000003</v>
      </c>
      <c r="J13" s="5">
        <f t="shared" si="5"/>
        <v>5.5663333333333336</v>
      </c>
      <c r="K13" s="5">
        <f t="shared" si="7"/>
        <v>10.792313766780733</v>
      </c>
      <c r="L13" s="1"/>
      <c r="O13" s="1"/>
    </row>
    <row r="14" spans="1:20" ht="14.25" customHeight="1" x14ac:dyDescent="0.3">
      <c r="A14" s="4">
        <v>44783</v>
      </c>
      <c r="B14" s="13">
        <v>99489</v>
      </c>
      <c r="C14" s="13">
        <v>99565</v>
      </c>
      <c r="D14" s="13">
        <f t="shared" si="2"/>
        <v>76</v>
      </c>
      <c r="E14" s="1">
        <v>26.62</v>
      </c>
      <c r="F14" s="13">
        <v>4</v>
      </c>
      <c r="G14" s="1">
        <f t="shared" si="1"/>
        <v>3.8000000000000003</v>
      </c>
      <c r="H14" s="1">
        <f t="shared" si="3"/>
        <v>0.45600000000000002</v>
      </c>
      <c r="I14" s="1">
        <f t="shared" si="4"/>
        <v>22.364000000000001</v>
      </c>
      <c r="J14" s="5">
        <f t="shared" si="5"/>
        <v>5.5910000000000002</v>
      </c>
      <c r="K14" s="5">
        <f t="shared" si="6"/>
        <v>14.274981217129977</v>
      </c>
      <c r="L14" s="1"/>
      <c r="M14" s="13">
        <v>99489</v>
      </c>
      <c r="N14" s="13" t="s">
        <v>19</v>
      </c>
      <c r="O14" s="1">
        <v>26</v>
      </c>
    </row>
    <row r="15" spans="1:20" ht="14.25" customHeight="1" x14ac:dyDescent="0.3">
      <c r="A15" s="4">
        <v>44784</v>
      </c>
      <c r="B15" s="13">
        <v>99565</v>
      </c>
      <c r="C15" s="13">
        <v>99660</v>
      </c>
      <c r="D15" s="13">
        <f t="shared" si="2"/>
        <v>95</v>
      </c>
      <c r="E15" s="1">
        <v>29.49</v>
      </c>
      <c r="F15" s="13">
        <v>4.5</v>
      </c>
      <c r="G15" s="1">
        <f t="shared" si="1"/>
        <v>4.75</v>
      </c>
      <c r="H15" s="1">
        <f t="shared" si="3"/>
        <v>0.56999999999999995</v>
      </c>
      <c r="I15" s="1">
        <f t="shared" si="4"/>
        <v>24.169999999999998</v>
      </c>
      <c r="J15" s="5">
        <f t="shared" si="5"/>
        <v>5.3711111111111105</v>
      </c>
      <c r="K15" s="5">
        <f t="shared" si="6"/>
        <v>16.107154967785689</v>
      </c>
      <c r="L15" s="1"/>
      <c r="O15" s="1"/>
    </row>
    <row r="16" spans="1:20" ht="14.25" customHeight="1" x14ac:dyDescent="0.3">
      <c r="A16" s="4">
        <v>44785</v>
      </c>
      <c r="D16" s="13">
        <f t="shared" si="2"/>
        <v>0</v>
      </c>
      <c r="E16" s="1"/>
      <c r="G16" s="1">
        <f t="shared" si="1"/>
        <v>0</v>
      </c>
      <c r="H16" s="1">
        <f t="shared" si="3"/>
        <v>0</v>
      </c>
      <c r="I16" s="1">
        <f t="shared" si="4"/>
        <v>0</v>
      </c>
      <c r="J16" s="5"/>
      <c r="K16" s="5"/>
      <c r="L16" s="1"/>
      <c r="O16" s="1"/>
    </row>
    <row r="17" spans="1:15" ht="14.25" customHeight="1" x14ac:dyDescent="0.3">
      <c r="A17" s="4">
        <v>44786</v>
      </c>
      <c r="D17" s="13">
        <f t="shared" si="2"/>
        <v>0</v>
      </c>
      <c r="E17" s="1"/>
      <c r="G17" s="1">
        <f t="shared" si="1"/>
        <v>0</v>
      </c>
      <c r="H17" s="1">
        <f t="shared" si="3"/>
        <v>0</v>
      </c>
      <c r="I17" s="1">
        <f t="shared" si="4"/>
        <v>0</v>
      </c>
      <c r="J17" s="5"/>
      <c r="K17" s="5"/>
      <c r="L17" s="1"/>
      <c r="O17" s="1"/>
    </row>
    <row r="18" spans="1:15" ht="14.25" customHeight="1" x14ac:dyDescent="0.3">
      <c r="A18" s="4">
        <v>44787</v>
      </c>
      <c r="D18" s="13">
        <f t="shared" si="2"/>
        <v>0</v>
      </c>
      <c r="E18" s="1"/>
      <c r="G18" s="1">
        <f t="shared" si="1"/>
        <v>0</v>
      </c>
      <c r="H18" s="1">
        <f t="shared" si="3"/>
        <v>0</v>
      </c>
      <c r="I18" s="1">
        <f t="shared" si="4"/>
        <v>0</v>
      </c>
      <c r="J18" s="5"/>
      <c r="K18" s="5"/>
      <c r="L18" s="1"/>
      <c r="O18" s="1"/>
    </row>
    <row r="19" spans="1:15" ht="14.25" customHeight="1" x14ac:dyDescent="0.3">
      <c r="A19" s="4">
        <v>44788</v>
      </c>
      <c r="D19" s="13">
        <f t="shared" si="2"/>
        <v>0</v>
      </c>
      <c r="E19" s="1"/>
      <c r="G19" s="1">
        <f t="shared" si="1"/>
        <v>0</v>
      </c>
      <c r="H19" s="1">
        <f t="shared" si="3"/>
        <v>0</v>
      </c>
      <c r="I19" s="1">
        <f t="shared" si="4"/>
        <v>0</v>
      </c>
      <c r="J19" s="5"/>
      <c r="K19" s="5"/>
      <c r="L19" s="1"/>
      <c r="O19" s="1"/>
    </row>
    <row r="20" spans="1:15" ht="14.25" customHeight="1" x14ac:dyDescent="0.3">
      <c r="A20" s="4">
        <v>44789</v>
      </c>
      <c r="B20" s="13">
        <v>99944</v>
      </c>
      <c r="C20" s="13">
        <v>99994</v>
      </c>
      <c r="D20" s="13">
        <f t="shared" si="2"/>
        <v>50</v>
      </c>
      <c r="E20" s="1">
        <v>20.13</v>
      </c>
      <c r="F20" s="14">
        <v>4</v>
      </c>
      <c r="G20" s="1">
        <f t="shared" si="1"/>
        <v>2.5</v>
      </c>
      <c r="H20" s="1">
        <f t="shared" si="3"/>
        <v>0.3</v>
      </c>
      <c r="I20" s="1">
        <f t="shared" si="4"/>
        <v>17.329999999999998</v>
      </c>
      <c r="J20" s="5">
        <f t="shared" si="5"/>
        <v>4.3324999999999996</v>
      </c>
      <c r="K20" s="5">
        <f t="shared" si="6"/>
        <v>12.419274714356682</v>
      </c>
      <c r="L20" s="1"/>
      <c r="M20" s="13">
        <v>99944</v>
      </c>
      <c r="N20" s="13" t="s">
        <v>25</v>
      </c>
      <c r="O20" s="1">
        <v>35</v>
      </c>
    </row>
    <row r="21" spans="1:15" ht="14.25" customHeight="1" x14ac:dyDescent="0.3">
      <c r="A21" s="4">
        <v>44790</v>
      </c>
      <c r="B21" s="13">
        <v>100000</v>
      </c>
      <c r="C21" s="13">
        <v>100061</v>
      </c>
      <c r="D21" s="13">
        <f t="shared" si="2"/>
        <v>61</v>
      </c>
      <c r="E21" s="1">
        <v>23.23</v>
      </c>
      <c r="F21" s="14">
        <v>3.5</v>
      </c>
      <c r="G21" s="1">
        <f t="shared" si="1"/>
        <v>3.0500000000000003</v>
      </c>
      <c r="H21" s="1">
        <f t="shared" si="3"/>
        <v>0.36599999999999999</v>
      </c>
      <c r="I21" s="1">
        <f t="shared" si="4"/>
        <v>19.814</v>
      </c>
      <c r="J21" s="5">
        <f t="shared" si="5"/>
        <v>5.661142857142857</v>
      </c>
      <c r="K21" s="5">
        <f t="shared" si="6"/>
        <v>13.129573826947912</v>
      </c>
      <c r="L21" s="1"/>
      <c r="M21" s="13">
        <v>99994</v>
      </c>
      <c r="N21" s="13" t="s">
        <v>19</v>
      </c>
      <c r="O21" s="8">
        <v>27</v>
      </c>
    </row>
    <row r="22" spans="1:15" ht="14.25" customHeight="1" x14ac:dyDescent="0.3">
      <c r="A22" s="4">
        <v>44791</v>
      </c>
      <c r="B22" s="13">
        <v>100061</v>
      </c>
      <c r="C22" s="13">
        <v>100160</v>
      </c>
      <c r="D22" s="13">
        <f t="shared" si="2"/>
        <v>99</v>
      </c>
      <c r="E22" s="1">
        <v>25.17</v>
      </c>
      <c r="F22" s="14">
        <v>4</v>
      </c>
      <c r="G22" s="1">
        <f t="shared" si="1"/>
        <v>4.95</v>
      </c>
      <c r="H22" s="1">
        <f t="shared" si="3"/>
        <v>0.59399999999999997</v>
      </c>
      <c r="I22" s="1">
        <f t="shared" si="4"/>
        <v>19.626000000000001</v>
      </c>
      <c r="J22" s="5">
        <f t="shared" si="5"/>
        <v>4.9065000000000003</v>
      </c>
      <c r="K22" s="5">
        <f t="shared" si="6"/>
        <v>19.666269368295588</v>
      </c>
      <c r="L22" s="1"/>
      <c r="O22" s="1"/>
    </row>
    <row r="23" spans="1:15" ht="14.25" customHeight="1" x14ac:dyDescent="0.3">
      <c r="A23" s="4">
        <v>44792</v>
      </c>
      <c r="B23" s="14">
        <v>100219</v>
      </c>
      <c r="C23" s="14">
        <v>100280</v>
      </c>
      <c r="D23" s="13">
        <f t="shared" si="2"/>
        <v>61</v>
      </c>
      <c r="E23" s="1">
        <v>41.47</v>
      </c>
      <c r="F23" s="14">
        <v>5</v>
      </c>
      <c r="G23" s="1">
        <f t="shared" si="1"/>
        <v>3.0500000000000003</v>
      </c>
      <c r="H23" s="1">
        <f t="shared" si="3"/>
        <v>0.36599999999999999</v>
      </c>
      <c r="I23" s="1">
        <f t="shared" si="4"/>
        <v>38.054000000000002</v>
      </c>
      <c r="J23" s="5">
        <f t="shared" si="5"/>
        <v>7.6108000000000002</v>
      </c>
      <c r="K23" s="5">
        <f t="shared" si="6"/>
        <v>7.3547142512659756</v>
      </c>
      <c r="L23" s="1"/>
      <c r="O23" s="1"/>
    </row>
    <row r="24" spans="1:15" ht="14.25" customHeight="1" x14ac:dyDescent="0.3">
      <c r="A24" s="4">
        <v>44793</v>
      </c>
      <c r="D24" s="13">
        <f t="shared" si="2"/>
        <v>0</v>
      </c>
      <c r="E24" s="1"/>
      <c r="G24" s="1">
        <f t="shared" si="1"/>
        <v>0</v>
      </c>
      <c r="H24" s="1">
        <f t="shared" si="3"/>
        <v>0</v>
      </c>
      <c r="I24" s="1">
        <f t="shared" si="4"/>
        <v>0</v>
      </c>
      <c r="J24" s="5"/>
      <c r="K24" s="5"/>
      <c r="L24" s="1"/>
      <c r="O24" s="1"/>
    </row>
    <row r="25" spans="1:15" ht="14.25" customHeight="1" x14ac:dyDescent="0.3">
      <c r="A25" s="4">
        <v>44794</v>
      </c>
      <c r="B25" s="14">
        <v>100290</v>
      </c>
      <c r="C25" s="14">
        <v>100301</v>
      </c>
      <c r="D25" s="13">
        <f t="shared" si="2"/>
        <v>11</v>
      </c>
      <c r="E25" s="1">
        <v>2.5</v>
      </c>
      <c r="F25" s="14">
        <v>0.5</v>
      </c>
      <c r="G25" s="1">
        <f t="shared" si="1"/>
        <v>0.55000000000000004</v>
      </c>
      <c r="H25" s="1">
        <f t="shared" si="3"/>
        <v>6.6000000000000003E-2</v>
      </c>
      <c r="I25" s="1">
        <f t="shared" si="4"/>
        <v>1.8839999999999999</v>
      </c>
      <c r="J25" s="5">
        <f t="shared" si="5"/>
        <v>3.7679999999999998</v>
      </c>
      <c r="K25" s="5">
        <f t="shared" si="6"/>
        <v>22.000000000000004</v>
      </c>
      <c r="L25" s="1"/>
      <c r="O25" s="1"/>
    </row>
    <row r="26" spans="1:15" ht="14.25" customHeight="1" x14ac:dyDescent="0.3">
      <c r="A26" s="4">
        <v>44795</v>
      </c>
      <c r="D26" s="13">
        <f t="shared" si="2"/>
        <v>0</v>
      </c>
      <c r="E26" s="1"/>
      <c r="G26" s="1">
        <f t="shared" si="1"/>
        <v>0</v>
      </c>
      <c r="H26" s="1">
        <f t="shared" si="3"/>
        <v>0</v>
      </c>
      <c r="I26" s="1">
        <f t="shared" si="4"/>
        <v>0</v>
      </c>
      <c r="J26" s="5"/>
      <c r="K26" s="5"/>
      <c r="L26" s="1"/>
      <c r="O26" s="1"/>
    </row>
    <row r="27" spans="1:15" ht="14.25" customHeight="1" x14ac:dyDescent="0.3">
      <c r="A27" s="4">
        <v>44796</v>
      </c>
      <c r="D27" s="13">
        <f t="shared" si="2"/>
        <v>0</v>
      </c>
      <c r="E27" s="1"/>
      <c r="G27" s="1">
        <f t="shared" si="1"/>
        <v>0</v>
      </c>
      <c r="H27" s="1">
        <f t="shared" si="3"/>
        <v>0</v>
      </c>
      <c r="I27" s="1">
        <f t="shared" si="4"/>
        <v>0</v>
      </c>
      <c r="J27" s="5"/>
      <c r="K27" s="5"/>
      <c r="L27" s="1"/>
      <c r="O27" s="1"/>
    </row>
    <row r="28" spans="1:15" ht="14.25" customHeight="1" x14ac:dyDescent="0.3">
      <c r="A28" s="4">
        <v>44797</v>
      </c>
      <c r="B28" s="13">
        <v>100317</v>
      </c>
      <c r="C28" s="13">
        <v>100402</v>
      </c>
      <c r="D28" s="13">
        <f t="shared" si="2"/>
        <v>85</v>
      </c>
      <c r="E28" s="1">
        <v>31.21</v>
      </c>
      <c r="F28" s="15">
        <v>5</v>
      </c>
      <c r="G28" s="1">
        <f t="shared" si="1"/>
        <v>4.25</v>
      </c>
      <c r="H28" s="1">
        <f t="shared" si="3"/>
        <v>0.51</v>
      </c>
      <c r="I28" s="1">
        <f t="shared" si="4"/>
        <v>26.45</v>
      </c>
      <c r="J28" s="5">
        <f t="shared" si="5"/>
        <v>5.29</v>
      </c>
      <c r="K28" s="5">
        <f t="shared" si="6"/>
        <v>13.61743031079782</v>
      </c>
      <c r="L28" s="1"/>
      <c r="O28" s="1"/>
    </row>
    <row r="29" spans="1:15" ht="14.25" customHeight="1" x14ac:dyDescent="0.3">
      <c r="A29" s="4">
        <v>44798</v>
      </c>
      <c r="B29" s="13">
        <v>100405</v>
      </c>
      <c r="C29" s="13">
        <v>100497</v>
      </c>
      <c r="D29" s="13">
        <f t="shared" si="2"/>
        <v>92</v>
      </c>
      <c r="E29" s="1">
        <v>32.76</v>
      </c>
      <c r="F29" s="15">
        <v>5</v>
      </c>
      <c r="G29" s="1">
        <f t="shared" si="1"/>
        <v>4.6000000000000005</v>
      </c>
      <c r="H29" s="1">
        <f t="shared" si="3"/>
        <v>0.55200000000000005</v>
      </c>
      <c r="I29" s="1">
        <f t="shared" si="4"/>
        <v>27.607999999999997</v>
      </c>
      <c r="J29" s="5">
        <f t="shared" si="5"/>
        <v>5.5215999999999994</v>
      </c>
      <c r="K29" s="5">
        <f t="shared" si="6"/>
        <v>14.041514041514045</v>
      </c>
      <c r="L29" s="1"/>
      <c r="M29" s="13">
        <v>100405</v>
      </c>
      <c r="N29" s="13" t="s">
        <v>19</v>
      </c>
      <c r="O29" s="1">
        <v>20</v>
      </c>
    </row>
    <row r="30" spans="1:15" ht="14.25" customHeight="1" x14ac:dyDescent="0.3">
      <c r="A30" s="4">
        <v>44799</v>
      </c>
      <c r="B30" s="15">
        <v>100497</v>
      </c>
      <c r="C30" s="15">
        <v>100594</v>
      </c>
      <c r="D30" s="13">
        <f t="shared" si="2"/>
        <v>97</v>
      </c>
      <c r="E30" s="1">
        <v>43.21</v>
      </c>
      <c r="F30" s="15">
        <v>5.5</v>
      </c>
      <c r="G30" s="1">
        <f t="shared" si="1"/>
        <v>4.8500000000000005</v>
      </c>
      <c r="H30" s="1">
        <f t="shared" si="3"/>
        <v>0.58199999999999996</v>
      </c>
      <c r="I30" s="1">
        <f t="shared" si="4"/>
        <v>37.777999999999999</v>
      </c>
      <c r="J30" s="5">
        <f t="shared" si="5"/>
        <v>6.8687272727272726</v>
      </c>
      <c r="K30" s="5">
        <f t="shared" si="6"/>
        <v>11.224253644989586</v>
      </c>
      <c r="L30" s="1"/>
      <c r="O30" s="1"/>
    </row>
    <row r="31" spans="1:15" ht="14.25" customHeight="1" x14ac:dyDescent="0.3">
      <c r="A31" s="4">
        <v>44800</v>
      </c>
      <c r="B31" s="15">
        <v>100603</v>
      </c>
      <c r="C31" s="15">
        <v>100650</v>
      </c>
      <c r="D31" s="13">
        <f t="shared" si="2"/>
        <v>47</v>
      </c>
      <c r="E31" s="1">
        <v>15.05</v>
      </c>
      <c r="F31" s="15">
        <v>2.5</v>
      </c>
      <c r="G31" s="1">
        <f t="shared" si="1"/>
        <v>2.35</v>
      </c>
      <c r="H31" s="1">
        <f t="shared" si="3"/>
        <v>0.28199999999999997</v>
      </c>
      <c r="I31" s="1">
        <f t="shared" si="4"/>
        <v>12.418000000000001</v>
      </c>
      <c r="J31" s="5">
        <f t="shared" si="5"/>
        <v>4.9672000000000001</v>
      </c>
      <c r="K31" s="5">
        <f t="shared" si="6"/>
        <v>15.614617940199334</v>
      </c>
      <c r="L31" s="1"/>
      <c r="O31" s="1"/>
    </row>
    <row r="32" spans="1:15" ht="14.25" customHeight="1" x14ac:dyDescent="0.3">
      <c r="A32" s="4">
        <v>44801</v>
      </c>
      <c r="D32" s="13">
        <f t="shared" si="2"/>
        <v>0</v>
      </c>
      <c r="E32" s="1"/>
      <c r="G32" s="1">
        <f t="shared" si="1"/>
        <v>0</v>
      </c>
      <c r="H32" s="1">
        <f t="shared" si="3"/>
        <v>0</v>
      </c>
      <c r="I32" s="1">
        <f t="shared" si="4"/>
        <v>0</v>
      </c>
      <c r="J32" s="5"/>
      <c r="K32" s="5"/>
      <c r="L32" s="1"/>
      <c r="M32" s="13">
        <v>100790</v>
      </c>
      <c r="N32" s="13" t="s">
        <v>19</v>
      </c>
      <c r="O32" s="1">
        <v>10</v>
      </c>
    </row>
    <row r="33" spans="1:15" ht="14.25" customHeight="1" x14ac:dyDescent="0.3">
      <c r="A33" s="4">
        <v>44802</v>
      </c>
      <c r="D33" s="13">
        <f t="shared" si="2"/>
        <v>0</v>
      </c>
      <c r="E33" s="1"/>
      <c r="G33" s="1">
        <f t="shared" si="1"/>
        <v>0</v>
      </c>
      <c r="H33" s="1">
        <f t="shared" si="3"/>
        <v>0</v>
      </c>
      <c r="I33" s="1">
        <f t="shared" si="4"/>
        <v>0</v>
      </c>
      <c r="J33" s="5"/>
      <c r="K33" s="5"/>
      <c r="L33" s="1"/>
      <c r="O33" s="1"/>
    </row>
    <row r="34" spans="1:15" ht="14.25" customHeight="1" x14ac:dyDescent="0.3">
      <c r="A34" s="4">
        <v>44803</v>
      </c>
      <c r="B34" s="15">
        <v>100914</v>
      </c>
      <c r="C34" s="15">
        <v>101036</v>
      </c>
      <c r="D34" s="13">
        <f t="shared" si="2"/>
        <v>122</v>
      </c>
      <c r="E34" s="1">
        <v>36.869999999999997</v>
      </c>
      <c r="F34" s="15">
        <v>5</v>
      </c>
      <c r="G34" s="1">
        <f t="shared" si="1"/>
        <v>6.1000000000000005</v>
      </c>
      <c r="H34" s="1">
        <f t="shared" si="3"/>
        <v>0.73199999999999998</v>
      </c>
      <c r="I34" s="1">
        <f t="shared" si="4"/>
        <v>30.037999999999997</v>
      </c>
      <c r="J34" s="5">
        <f t="shared" si="5"/>
        <v>6.0075999999999992</v>
      </c>
      <c r="K34" s="5">
        <f t="shared" si="6"/>
        <v>16.544616219148359</v>
      </c>
      <c r="L34" s="1"/>
      <c r="M34" s="13">
        <v>101034</v>
      </c>
      <c r="N34" s="13" t="s">
        <v>19</v>
      </c>
      <c r="O34" s="1">
        <v>10</v>
      </c>
    </row>
    <row r="35" spans="1:15" ht="14.25" customHeight="1" x14ac:dyDescent="0.3">
      <c r="A35" s="4">
        <v>44804</v>
      </c>
      <c r="B35" s="15">
        <v>101036</v>
      </c>
      <c r="C35" s="15">
        <v>101162</v>
      </c>
      <c r="D35" s="13">
        <f t="shared" si="2"/>
        <v>126</v>
      </c>
      <c r="E35" s="1">
        <v>51.8</v>
      </c>
      <c r="F35" s="15">
        <v>6</v>
      </c>
      <c r="G35" s="1">
        <f t="shared" si="1"/>
        <v>6.3000000000000007</v>
      </c>
      <c r="H35" s="1">
        <f t="shared" si="3"/>
        <v>0.75600000000000001</v>
      </c>
      <c r="I35" s="1">
        <f t="shared" si="4"/>
        <v>44.744</v>
      </c>
      <c r="J35" s="5">
        <f t="shared" si="5"/>
        <v>7.4573333333333336</v>
      </c>
      <c r="K35" s="5">
        <f t="shared" si="6"/>
        <v>12.162162162162165</v>
      </c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E3BE-D156-4E5C-84CE-04B9FC38B1E0}">
  <dimension ref="A1:T100"/>
  <sheetViews>
    <sheetView zoomScale="90" zoomScaleNormal="90" workbookViewId="0">
      <pane ySplit="3" topLeftCell="A30" activePane="bottomLeft" state="frozen"/>
      <selection pane="bottomLeft" activeCell="T19" sqref="T19"/>
    </sheetView>
  </sheetViews>
  <sheetFormatPr baseColWidth="10" defaultColWidth="14.44140625" defaultRowHeight="15" customHeight="1" x14ac:dyDescent="0.3"/>
  <cols>
    <col min="1" max="6" width="10.6640625" style="16" customWidth="1"/>
    <col min="7" max="9" width="11.5546875" style="16" customWidth="1"/>
    <col min="10" max="10" width="10.6640625" style="16" customWidth="1"/>
    <col min="11" max="11" width="12.21875" style="16" customWidth="1"/>
    <col min="12" max="13" width="10.6640625" style="16" customWidth="1"/>
    <col min="14" max="14" width="18" style="16" customWidth="1"/>
    <col min="15" max="15" width="11.5546875" style="16" customWidth="1"/>
    <col min="16" max="20" width="10.6640625" style="16" customWidth="1"/>
    <col min="21" max="16384" width="14.44140625" style="16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SUM(D4:D35)</f>
        <v>918</v>
      </c>
      <c r="E3" s="3">
        <f t="shared" si="0"/>
        <v>331.89000000000004</v>
      </c>
      <c r="F3" s="3">
        <f t="shared" si="0"/>
        <v>53.5</v>
      </c>
      <c r="G3" s="3">
        <f t="shared" si="0"/>
        <v>45.9</v>
      </c>
      <c r="H3" s="3">
        <f t="shared" si="0"/>
        <v>5.508</v>
      </c>
      <c r="I3" s="3">
        <f t="shared" si="0"/>
        <v>280.48199999999997</v>
      </c>
      <c r="J3" s="3">
        <f>AVERAGE(J4:J35)</f>
        <v>5.0153391233766236</v>
      </c>
      <c r="K3" s="3">
        <f>AVERAGE(K4:K35)</f>
        <v>14.898627974250163</v>
      </c>
      <c r="M3" s="2"/>
      <c r="N3" s="2"/>
      <c r="O3" s="3">
        <f>SUM(O4:O35)</f>
        <v>99</v>
      </c>
      <c r="P3" s="7">
        <v>0.05</v>
      </c>
      <c r="Q3" s="8">
        <v>2.4</v>
      </c>
      <c r="R3" s="16">
        <v>43</v>
      </c>
      <c r="S3" s="16">
        <v>5000</v>
      </c>
      <c r="T3" s="16">
        <v>30</v>
      </c>
    </row>
    <row r="4" spans="1:20" ht="14.25" customHeight="1" x14ac:dyDescent="0.3">
      <c r="A4" s="4"/>
      <c r="E4" s="1"/>
      <c r="G4" s="1">
        <f t="shared" ref="G4:G34" si="1">D4*$P$3</f>
        <v>0</v>
      </c>
      <c r="H4" s="1"/>
      <c r="I4" s="1"/>
      <c r="O4" s="1"/>
    </row>
    <row r="5" spans="1:20" ht="14.25" customHeight="1" x14ac:dyDescent="0.3">
      <c r="A5" s="4">
        <v>44805</v>
      </c>
      <c r="B5" s="16">
        <v>101214</v>
      </c>
      <c r="C5" s="16">
        <v>101230</v>
      </c>
      <c r="D5" s="16">
        <f t="shared" ref="D5:D34" si="2">C5-B5</f>
        <v>16</v>
      </c>
      <c r="E5" s="1">
        <v>3.32</v>
      </c>
      <c r="F5" s="16">
        <v>0.5</v>
      </c>
      <c r="G5" s="1">
        <f t="shared" si="1"/>
        <v>0.8</v>
      </c>
      <c r="H5" s="1">
        <f t="shared" ref="H5:H34" si="3">(D5*$T$3)/$S$3</f>
        <v>9.6000000000000002E-2</v>
      </c>
      <c r="I5" s="1">
        <f t="shared" ref="I5:I34" si="4">E5-G5-H5</f>
        <v>2.4239999999999995</v>
      </c>
      <c r="J5" s="5">
        <f t="shared" ref="J5:J34" si="5">I5/F5</f>
        <v>4.847999999999999</v>
      </c>
      <c r="K5" s="5">
        <f t="shared" ref="K5:K34" si="6">(G5*100)/E5</f>
        <v>24.096385542168676</v>
      </c>
      <c r="M5" s="16">
        <v>101230</v>
      </c>
      <c r="N5" s="16" t="s">
        <v>19</v>
      </c>
      <c r="O5" s="1">
        <v>10</v>
      </c>
    </row>
    <row r="6" spans="1:20" ht="14.25" customHeight="1" x14ac:dyDescent="0.3">
      <c r="A6" s="4">
        <v>44806</v>
      </c>
      <c r="B6" s="16">
        <v>101230</v>
      </c>
      <c r="C6" s="16">
        <v>101258</v>
      </c>
      <c r="D6" s="16">
        <f t="shared" si="2"/>
        <v>28</v>
      </c>
      <c r="E6" s="1">
        <v>11.65</v>
      </c>
      <c r="F6" s="16">
        <v>2</v>
      </c>
      <c r="G6" s="1">
        <f t="shared" si="1"/>
        <v>1.4000000000000001</v>
      </c>
      <c r="H6" s="1">
        <f t="shared" si="3"/>
        <v>0.16800000000000001</v>
      </c>
      <c r="I6" s="1">
        <f t="shared" si="4"/>
        <v>10.082000000000001</v>
      </c>
      <c r="J6" s="5">
        <f t="shared" si="5"/>
        <v>5.0410000000000004</v>
      </c>
      <c r="K6" s="5">
        <f t="shared" si="6"/>
        <v>12.017167381974248</v>
      </c>
      <c r="O6" s="1"/>
    </row>
    <row r="7" spans="1:20" ht="14.25" customHeight="1" x14ac:dyDescent="0.3">
      <c r="A7" s="4">
        <v>44807</v>
      </c>
      <c r="D7" s="16">
        <f t="shared" si="2"/>
        <v>0</v>
      </c>
      <c r="E7" s="1"/>
      <c r="G7" s="1">
        <f t="shared" si="1"/>
        <v>0</v>
      </c>
      <c r="H7" s="1">
        <f t="shared" si="3"/>
        <v>0</v>
      </c>
      <c r="I7" s="1">
        <f t="shared" si="4"/>
        <v>0</v>
      </c>
      <c r="J7" s="5"/>
      <c r="K7" s="5"/>
      <c r="O7" s="1"/>
    </row>
    <row r="8" spans="1:20" ht="14.25" customHeight="1" x14ac:dyDescent="0.3">
      <c r="A8" s="4">
        <v>44808</v>
      </c>
      <c r="D8" s="16">
        <f t="shared" si="2"/>
        <v>0</v>
      </c>
      <c r="E8" s="1"/>
      <c r="G8" s="1">
        <f t="shared" si="1"/>
        <v>0</v>
      </c>
      <c r="H8" s="1">
        <f t="shared" si="3"/>
        <v>0</v>
      </c>
      <c r="I8" s="1">
        <f t="shared" si="4"/>
        <v>0</v>
      </c>
      <c r="J8" s="5"/>
      <c r="K8" s="5"/>
      <c r="O8" s="1"/>
    </row>
    <row r="9" spans="1:20" ht="14.25" customHeight="1" x14ac:dyDescent="0.3">
      <c r="A9" s="4">
        <v>44809</v>
      </c>
      <c r="D9" s="16">
        <f t="shared" si="2"/>
        <v>0</v>
      </c>
      <c r="E9" s="1"/>
      <c r="G9" s="1">
        <f t="shared" si="1"/>
        <v>0</v>
      </c>
      <c r="H9" s="1">
        <f t="shared" si="3"/>
        <v>0</v>
      </c>
      <c r="I9" s="1">
        <f t="shared" si="4"/>
        <v>0</v>
      </c>
      <c r="J9" s="5"/>
      <c r="K9" s="5"/>
      <c r="O9" s="1"/>
    </row>
    <row r="10" spans="1:20" ht="14.25" customHeight="1" x14ac:dyDescent="0.3">
      <c r="A10" s="4">
        <v>44810</v>
      </c>
      <c r="D10" s="16">
        <f t="shared" si="2"/>
        <v>0</v>
      </c>
      <c r="E10" s="1"/>
      <c r="G10" s="1">
        <f t="shared" si="1"/>
        <v>0</v>
      </c>
      <c r="H10" s="1">
        <f t="shared" si="3"/>
        <v>0</v>
      </c>
      <c r="I10" s="1">
        <f t="shared" si="4"/>
        <v>0</v>
      </c>
      <c r="J10" s="5"/>
      <c r="K10" s="5"/>
      <c r="L10" s="1"/>
      <c r="O10" s="1"/>
    </row>
    <row r="11" spans="1:20" ht="14.25" customHeight="1" x14ac:dyDescent="0.3">
      <c r="A11" s="4">
        <v>44811</v>
      </c>
      <c r="B11" s="16">
        <v>101278</v>
      </c>
      <c r="C11" s="16">
        <v>101308</v>
      </c>
      <c r="D11" s="16">
        <f t="shared" si="2"/>
        <v>30</v>
      </c>
      <c r="E11" s="1">
        <v>9.8699999999999992</v>
      </c>
      <c r="F11" s="16">
        <v>2</v>
      </c>
      <c r="G11" s="1">
        <f t="shared" si="1"/>
        <v>1.5</v>
      </c>
      <c r="H11" s="1">
        <f t="shared" si="3"/>
        <v>0.18</v>
      </c>
      <c r="I11" s="1">
        <f t="shared" si="4"/>
        <v>8.19</v>
      </c>
      <c r="J11" s="5">
        <f t="shared" si="5"/>
        <v>4.0949999999999998</v>
      </c>
      <c r="K11" s="5">
        <f t="shared" si="6"/>
        <v>15.197568389057752</v>
      </c>
      <c r="L11" s="1"/>
      <c r="O11" s="1"/>
    </row>
    <row r="12" spans="1:20" ht="14.25" customHeight="1" x14ac:dyDescent="0.3">
      <c r="A12" s="4">
        <v>44812</v>
      </c>
      <c r="B12" s="16">
        <v>101308</v>
      </c>
      <c r="C12" s="16">
        <v>101388</v>
      </c>
      <c r="D12" s="16">
        <f t="shared" si="2"/>
        <v>80</v>
      </c>
      <c r="E12" s="1">
        <v>29.91</v>
      </c>
      <c r="F12" s="16">
        <v>5</v>
      </c>
      <c r="G12" s="1">
        <f t="shared" si="1"/>
        <v>4</v>
      </c>
      <c r="H12" s="1">
        <f t="shared" si="3"/>
        <v>0.48</v>
      </c>
      <c r="I12" s="1">
        <f t="shared" si="4"/>
        <v>25.43</v>
      </c>
      <c r="J12" s="5">
        <f t="shared" si="5"/>
        <v>5.0860000000000003</v>
      </c>
      <c r="K12" s="5">
        <f t="shared" si="6"/>
        <v>13.373453694416582</v>
      </c>
      <c r="L12" s="1"/>
      <c r="M12" s="16">
        <v>101388</v>
      </c>
      <c r="N12" s="16" t="s">
        <v>19</v>
      </c>
      <c r="O12" s="1">
        <v>15</v>
      </c>
    </row>
    <row r="13" spans="1:20" ht="14.25" customHeight="1" x14ac:dyDescent="0.3">
      <c r="A13" s="4">
        <v>44813</v>
      </c>
      <c r="B13" s="16">
        <v>101403</v>
      </c>
      <c r="C13" s="16">
        <v>101506</v>
      </c>
      <c r="D13" s="16">
        <f t="shared" si="2"/>
        <v>103</v>
      </c>
      <c r="E13" s="1">
        <v>35.71</v>
      </c>
      <c r="F13" s="16">
        <v>6</v>
      </c>
      <c r="G13" s="1">
        <f t="shared" si="1"/>
        <v>5.15</v>
      </c>
      <c r="H13" s="1">
        <f t="shared" si="3"/>
        <v>0.61799999999999999</v>
      </c>
      <c r="I13" s="1">
        <f t="shared" si="4"/>
        <v>29.942000000000004</v>
      </c>
      <c r="J13" s="5">
        <f t="shared" si="5"/>
        <v>4.990333333333334</v>
      </c>
      <c r="K13" s="5">
        <f t="shared" si="6"/>
        <v>14.42173060767292</v>
      </c>
      <c r="L13" s="1"/>
      <c r="O13" s="1"/>
    </row>
    <row r="14" spans="1:20" ht="14.25" customHeight="1" x14ac:dyDescent="0.3">
      <c r="A14" s="4">
        <v>44814</v>
      </c>
      <c r="D14" s="16">
        <f t="shared" si="2"/>
        <v>0</v>
      </c>
      <c r="E14" s="1"/>
      <c r="G14" s="1">
        <f t="shared" si="1"/>
        <v>0</v>
      </c>
      <c r="H14" s="1">
        <f t="shared" si="3"/>
        <v>0</v>
      </c>
      <c r="I14" s="1">
        <f t="shared" si="4"/>
        <v>0</v>
      </c>
      <c r="J14" s="5"/>
      <c r="K14" s="5"/>
      <c r="L14" s="1"/>
      <c r="O14" s="1"/>
    </row>
    <row r="15" spans="1:20" ht="14.25" customHeight="1" x14ac:dyDescent="0.3">
      <c r="A15" s="4">
        <v>44815</v>
      </c>
      <c r="D15" s="16">
        <f t="shared" si="2"/>
        <v>0</v>
      </c>
      <c r="E15" s="1"/>
      <c r="G15" s="1">
        <f t="shared" si="1"/>
        <v>0</v>
      </c>
      <c r="H15" s="1">
        <f t="shared" si="3"/>
        <v>0</v>
      </c>
      <c r="I15" s="1">
        <f t="shared" si="4"/>
        <v>0</v>
      </c>
      <c r="J15" s="5"/>
      <c r="K15" s="5"/>
      <c r="L15" s="1"/>
      <c r="O15" s="1"/>
    </row>
    <row r="16" spans="1:20" ht="14.25" customHeight="1" x14ac:dyDescent="0.3">
      <c r="A16" s="4">
        <v>44816</v>
      </c>
      <c r="D16" s="16">
        <f t="shared" si="2"/>
        <v>0</v>
      </c>
      <c r="E16" s="1"/>
      <c r="G16" s="1">
        <f t="shared" si="1"/>
        <v>0</v>
      </c>
      <c r="H16" s="1">
        <f t="shared" si="3"/>
        <v>0</v>
      </c>
      <c r="I16" s="1">
        <f t="shared" si="4"/>
        <v>0</v>
      </c>
      <c r="J16" s="5"/>
      <c r="K16" s="5"/>
      <c r="L16" s="1"/>
      <c r="O16" s="1"/>
    </row>
    <row r="17" spans="1:15" ht="14.25" customHeight="1" x14ac:dyDescent="0.3">
      <c r="A17" s="4">
        <v>44817</v>
      </c>
      <c r="B17" s="16">
        <v>101597</v>
      </c>
      <c r="C17" s="16">
        <v>101642</v>
      </c>
      <c r="D17" s="16">
        <f t="shared" si="2"/>
        <v>45</v>
      </c>
      <c r="E17" s="1">
        <v>18.899999999999999</v>
      </c>
      <c r="F17" s="16">
        <v>3</v>
      </c>
      <c r="G17" s="1">
        <f t="shared" si="1"/>
        <v>2.25</v>
      </c>
      <c r="H17" s="1">
        <f t="shared" si="3"/>
        <v>0.27</v>
      </c>
      <c r="I17" s="1">
        <f t="shared" si="4"/>
        <v>16.38</v>
      </c>
      <c r="J17" s="5">
        <f t="shared" si="5"/>
        <v>5.46</v>
      </c>
      <c r="K17" s="5">
        <f t="shared" si="6"/>
        <v>11.904761904761905</v>
      </c>
      <c r="L17" s="1"/>
      <c r="O17" s="1"/>
    </row>
    <row r="18" spans="1:15" ht="14.25" customHeight="1" x14ac:dyDescent="0.3">
      <c r="A18" s="4">
        <v>44818</v>
      </c>
      <c r="B18" s="16">
        <v>101645</v>
      </c>
      <c r="C18" s="16">
        <v>101686</v>
      </c>
      <c r="D18" s="16">
        <f t="shared" si="2"/>
        <v>41</v>
      </c>
      <c r="E18" s="1">
        <v>14.58</v>
      </c>
      <c r="F18" s="16">
        <v>2.5</v>
      </c>
      <c r="G18" s="1">
        <f t="shared" si="1"/>
        <v>2.0500000000000003</v>
      </c>
      <c r="H18" s="1">
        <f t="shared" si="3"/>
        <v>0.246</v>
      </c>
      <c r="I18" s="1">
        <f t="shared" si="4"/>
        <v>12.283999999999999</v>
      </c>
      <c r="J18" s="5">
        <f t="shared" si="5"/>
        <v>4.9135999999999997</v>
      </c>
      <c r="K18" s="5">
        <f t="shared" si="6"/>
        <v>14.060356652949247</v>
      </c>
      <c r="L18" s="1"/>
      <c r="M18" s="16">
        <v>101645</v>
      </c>
      <c r="N18" s="16" t="s">
        <v>19</v>
      </c>
      <c r="O18" s="1">
        <v>25</v>
      </c>
    </row>
    <row r="19" spans="1:15" ht="14.25" customHeight="1" x14ac:dyDescent="0.3">
      <c r="A19" s="4">
        <v>44819</v>
      </c>
      <c r="B19" s="16">
        <v>101696</v>
      </c>
      <c r="C19" s="16">
        <v>101834</v>
      </c>
      <c r="D19" s="16">
        <f t="shared" si="2"/>
        <v>138</v>
      </c>
      <c r="E19" s="1">
        <v>53.89</v>
      </c>
      <c r="F19" s="16">
        <v>7</v>
      </c>
      <c r="G19" s="1">
        <f t="shared" si="1"/>
        <v>6.9</v>
      </c>
      <c r="H19" s="1">
        <f t="shared" si="3"/>
        <v>0.82799999999999996</v>
      </c>
      <c r="I19" s="1">
        <f t="shared" si="4"/>
        <v>46.161999999999999</v>
      </c>
      <c r="J19" s="5">
        <f t="shared" si="5"/>
        <v>6.5945714285714283</v>
      </c>
      <c r="K19" s="5">
        <f t="shared" si="6"/>
        <v>12.803859714232695</v>
      </c>
      <c r="L19" s="1"/>
      <c r="O19" s="1"/>
    </row>
    <row r="20" spans="1:15" ht="14.25" customHeight="1" x14ac:dyDescent="0.3">
      <c r="A20" s="4">
        <v>44820</v>
      </c>
      <c r="B20" s="16">
        <v>101842</v>
      </c>
      <c r="C20" s="16">
        <v>101895</v>
      </c>
      <c r="D20" s="16">
        <f t="shared" si="2"/>
        <v>53</v>
      </c>
      <c r="E20" s="1">
        <v>17.64</v>
      </c>
      <c r="F20" s="16">
        <v>3</v>
      </c>
      <c r="G20" s="1">
        <f t="shared" si="1"/>
        <v>2.6500000000000004</v>
      </c>
      <c r="H20" s="1">
        <f t="shared" si="3"/>
        <v>0.318</v>
      </c>
      <c r="I20" s="1">
        <f t="shared" si="4"/>
        <v>14.672000000000001</v>
      </c>
      <c r="J20" s="5">
        <f t="shared" si="5"/>
        <v>4.8906666666666672</v>
      </c>
      <c r="K20" s="5">
        <f t="shared" si="6"/>
        <v>15.022675736961453</v>
      </c>
      <c r="L20" s="1"/>
      <c r="O20" s="1"/>
    </row>
    <row r="21" spans="1:15" ht="14.25" customHeight="1" x14ac:dyDescent="0.3">
      <c r="A21" s="4">
        <v>44821</v>
      </c>
      <c r="B21" s="16">
        <v>101904</v>
      </c>
      <c r="C21" s="16">
        <v>101934</v>
      </c>
      <c r="D21" s="16">
        <f t="shared" si="2"/>
        <v>30</v>
      </c>
      <c r="E21" s="1">
        <v>6.47</v>
      </c>
      <c r="F21" s="16">
        <v>2</v>
      </c>
      <c r="G21" s="1">
        <f t="shared" si="1"/>
        <v>1.5</v>
      </c>
      <c r="H21" s="1">
        <f t="shared" si="3"/>
        <v>0.18</v>
      </c>
      <c r="I21" s="1">
        <f t="shared" si="4"/>
        <v>4.79</v>
      </c>
      <c r="J21" s="5">
        <f t="shared" si="5"/>
        <v>2.395</v>
      </c>
      <c r="K21" s="5">
        <f t="shared" si="6"/>
        <v>23.183925811437405</v>
      </c>
      <c r="L21" s="1"/>
      <c r="O21" s="8"/>
    </row>
    <row r="22" spans="1:15" ht="14.25" customHeight="1" x14ac:dyDescent="0.3">
      <c r="A22" s="4">
        <v>44822</v>
      </c>
      <c r="D22" s="16">
        <f t="shared" si="2"/>
        <v>0</v>
      </c>
      <c r="E22" s="1"/>
      <c r="G22" s="1">
        <f t="shared" si="1"/>
        <v>0</v>
      </c>
      <c r="H22" s="1">
        <f t="shared" si="3"/>
        <v>0</v>
      </c>
      <c r="I22" s="1">
        <f t="shared" si="4"/>
        <v>0</v>
      </c>
      <c r="J22" s="5"/>
      <c r="K22" s="5"/>
      <c r="L22" s="1"/>
      <c r="M22" s="16">
        <v>102111</v>
      </c>
      <c r="N22" s="16" t="s">
        <v>19</v>
      </c>
      <c r="O22" s="1">
        <v>24</v>
      </c>
    </row>
    <row r="23" spans="1:15" ht="14.25" customHeight="1" x14ac:dyDescent="0.3">
      <c r="A23" s="4">
        <v>44823</v>
      </c>
      <c r="D23" s="16">
        <f t="shared" si="2"/>
        <v>0</v>
      </c>
      <c r="E23" s="1"/>
      <c r="G23" s="1">
        <f t="shared" si="1"/>
        <v>0</v>
      </c>
      <c r="H23" s="1">
        <f t="shared" si="3"/>
        <v>0</v>
      </c>
      <c r="I23" s="1">
        <f t="shared" si="4"/>
        <v>0</v>
      </c>
      <c r="J23" s="5"/>
      <c r="K23" s="5"/>
      <c r="L23" s="1"/>
      <c r="O23" s="1"/>
    </row>
    <row r="24" spans="1:15" ht="14.25" customHeight="1" x14ac:dyDescent="0.3">
      <c r="A24" s="4">
        <v>44824</v>
      </c>
      <c r="B24" s="16">
        <v>102240</v>
      </c>
      <c r="C24" s="16">
        <v>102273</v>
      </c>
      <c r="D24" s="16">
        <f t="shared" si="2"/>
        <v>33</v>
      </c>
      <c r="E24" s="1">
        <v>13.69</v>
      </c>
      <c r="F24" s="16">
        <v>2.5</v>
      </c>
      <c r="G24" s="1">
        <f t="shared" si="1"/>
        <v>1.6500000000000001</v>
      </c>
      <c r="H24" s="1">
        <f t="shared" si="3"/>
        <v>0.19800000000000001</v>
      </c>
      <c r="I24" s="1">
        <f t="shared" si="4"/>
        <v>11.841999999999999</v>
      </c>
      <c r="J24" s="5">
        <f t="shared" si="5"/>
        <v>4.7367999999999997</v>
      </c>
      <c r="K24" s="5">
        <f t="shared" si="6"/>
        <v>12.052593133674215</v>
      </c>
      <c r="L24" s="1"/>
      <c r="O24" s="1"/>
    </row>
    <row r="25" spans="1:15" ht="14.25" customHeight="1" x14ac:dyDescent="0.3">
      <c r="A25" s="4">
        <v>44825</v>
      </c>
      <c r="B25" s="16">
        <v>102273</v>
      </c>
      <c r="C25" s="16">
        <v>102324</v>
      </c>
      <c r="D25" s="16">
        <f t="shared" si="2"/>
        <v>51</v>
      </c>
      <c r="E25" s="1">
        <v>16.47</v>
      </c>
      <c r="F25" s="16">
        <v>3</v>
      </c>
      <c r="G25" s="1">
        <f t="shared" si="1"/>
        <v>2.5500000000000003</v>
      </c>
      <c r="H25" s="1">
        <f t="shared" si="3"/>
        <v>0.30599999999999999</v>
      </c>
      <c r="I25" s="1">
        <f t="shared" si="4"/>
        <v>13.613999999999999</v>
      </c>
      <c r="J25" s="5">
        <f t="shared" si="5"/>
        <v>4.5379999999999994</v>
      </c>
      <c r="K25" s="5">
        <f t="shared" si="6"/>
        <v>15.482695810564666</v>
      </c>
      <c r="L25" s="1"/>
      <c r="O25" s="1"/>
    </row>
    <row r="26" spans="1:15" ht="14.25" customHeight="1" x14ac:dyDescent="0.3">
      <c r="A26" s="4">
        <v>44826</v>
      </c>
      <c r="D26" s="16">
        <f t="shared" si="2"/>
        <v>0</v>
      </c>
      <c r="E26" s="1"/>
      <c r="G26" s="1">
        <f t="shared" si="1"/>
        <v>0</v>
      </c>
      <c r="H26" s="1">
        <f t="shared" si="3"/>
        <v>0</v>
      </c>
      <c r="I26" s="1">
        <f t="shared" si="4"/>
        <v>0</v>
      </c>
      <c r="J26" s="5"/>
      <c r="K26" s="5"/>
      <c r="L26" s="1"/>
      <c r="O26" s="1"/>
    </row>
    <row r="27" spans="1:15" ht="14.25" customHeight="1" x14ac:dyDescent="0.3">
      <c r="A27" s="4">
        <v>44827</v>
      </c>
      <c r="D27" s="16">
        <f t="shared" si="2"/>
        <v>0</v>
      </c>
      <c r="E27" s="1"/>
      <c r="G27" s="1">
        <f t="shared" si="1"/>
        <v>0</v>
      </c>
      <c r="H27" s="1">
        <f t="shared" si="3"/>
        <v>0</v>
      </c>
      <c r="I27" s="1">
        <f t="shared" si="4"/>
        <v>0</v>
      </c>
      <c r="J27" s="5"/>
      <c r="K27" s="5"/>
      <c r="L27" s="1"/>
      <c r="O27" s="1"/>
    </row>
    <row r="28" spans="1:15" ht="14.25" customHeight="1" x14ac:dyDescent="0.3">
      <c r="A28" s="4">
        <v>44828</v>
      </c>
      <c r="D28" s="16">
        <f t="shared" si="2"/>
        <v>0</v>
      </c>
      <c r="E28" s="1"/>
      <c r="G28" s="1">
        <f t="shared" si="1"/>
        <v>0</v>
      </c>
      <c r="H28" s="1">
        <f t="shared" si="3"/>
        <v>0</v>
      </c>
      <c r="I28" s="1">
        <f t="shared" si="4"/>
        <v>0</v>
      </c>
      <c r="J28" s="5"/>
      <c r="K28" s="5"/>
      <c r="L28" s="1"/>
      <c r="O28" s="1"/>
    </row>
    <row r="29" spans="1:15" ht="14.25" customHeight="1" x14ac:dyDescent="0.3">
      <c r="A29" s="4">
        <v>44829</v>
      </c>
      <c r="D29" s="16">
        <f t="shared" si="2"/>
        <v>0</v>
      </c>
      <c r="E29" s="1"/>
      <c r="G29" s="1">
        <f t="shared" si="1"/>
        <v>0</v>
      </c>
      <c r="H29" s="1">
        <f t="shared" si="3"/>
        <v>0</v>
      </c>
      <c r="I29" s="1">
        <f t="shared" si="4"/>
        <v>0</v>
      </c>
      <c r="J29" s="5"/>
      <c r="K29" s="5"/>
      <c r="L29" s="1"/>
      <c r="O29" s="1"/>
    </row>
    <row r="30" spans="1:15" ht="14.25" customHeight="1" x14ac:dyDescent="0.3">
      <c r="A30" s="4">
        <v>44830</v>
      </c>
      <c r="D30" s="16">
        <f t="shared" si="2"/>
        <v>0</v>
      </c>
      <c r="E30" s="1"/>
      <c r="G30" s="1">
        <f t="shared" si="1"/>
        <v>0</v>
      </c>
      <c r="H30" s="1">
        <f t="shared" si="3"/>
        <v>0</v>
      </c>
      <c r="I30" s="1">
        <f t="shared" si="4"/>
        <v>0</v>
      </c>
      <c r="J30" s="5"/>
      <c r="K30" s="5"/>
      <c r="L30" s="1"/>
      <c r="O30" s="1"/>
    </row>
    <row r="31" spans="1:15" ht="14.25" customHeight="1" x14ac:dyDescent="0.3">
      <c r="A31" s="4">
        <v>44831</v>
      </c>
      <c r="B31" s="16">
        <v>102324</v>
      </c>
      <c r="C31" s="16">
        <v>102364</v>
      </c>
      <c r="D31" s="16">
        <f t="shared" si="2"/>
        <v>40</v>
      </c>
      <c r="E31" s="1">
        <v>13.94</v>
      </c>
      <c r="F31" s="16">
        <v>2.5</v>
      </c>
      <c r="G31" s="1">
        <f t="shared" si="1"/>
        <v>2</v>
      </c>
      <c r="H31" s="1">
        <f t="shared" si="3"/>
        <v>0.24</v>
      </c>
      <c r="I31" s="1">
        <f t="shared" si="4"/>
        <v>11.7</v>
      </c>
      <c r="J31" s="5">
        <f t="shared" si="5"/>
        <v>4.68</v>
      </c>
      <c r="K31" s="5">
        <f t="shared" si="6"/>
        <v>14.347202295552368</v>
      </c>
      <c r="L31" s="1"/>
      <c r="O31" s="1"/>
    </row>
    <row r="32" spans="1:15" ht="14.25" customHeight="1" x14ac:dyDescent="0.3">
      <c r="A32" s="4">
        <v>44832</v>
      </c>
      <c r="B32" s="16">
        <v>102364</v>
      </c>
      <c r="C32" s="16">
        <v>102406</v>
      </c>
      <c r="D32" s="16">
        <f t="shared" si="2"/>
        <v>42</v>
      </c>
      <c r="E32" s="1">
        <v>15.61</v>
      </c>
      <c r="F32" s="17">
        <v>2</v>
      </c>
      <c r="G32" s="1">
        <f t="shared" si="1"/>
        <v>2.1</v>
      </c>
      <c r="H32" s="1">
        <f t="shared" si="3"/>
        <v>0.252</v>
      </c>
      <c r="I32" s="1">
        <f t="shared" si="4"/>
        <v>13.257999999999999</v>
      </c>
      <c r="J32" s="5">
        <f t="shared" si="5"/>
        <v>6.6289999999999996</v>
      </c>
      <c r="K32" s="5">
        <f t="shared" si="6"/>
        <v>13.452914798206278</v>
      </c>
      <c r="L32" s="1"/>
      <c r="O32" s="1"/>
    </row>
    <row r="33" spans="1:15" ht="14.25" customHeight="1" x14ac:dyDescent="0.3">
      <c r="A33" s="4">
        <v>44833</v>
      </c>
      <c r="B33" s="16">
        <v>102406</v>
      </c>
      <c r="C33" s="16">
        <v>102499</v>
      </c>
      <c r="D33" s="16">
        <f t="shared" si="2"/>
        <v>93</v>
      </c>
      <c r="E33" s="1">
        <v>37.93</v>
      </c>
      <c r="F33" s="17">
        <v>5.5</v>
      </c>
      <c r="G33" s="1">
        <f t="shared" si="1"/>
        <v>4.6500000000000004</v>
      </c>
      <c r="H33" s="1">
        <f t="shared" si="3"/>
        <v>0.55800000000000005</v>
      </c>
      <c r="I33" s="1">
        <f t="shared" si="4"/>
        <v>32.722000000000001</v>
      </c>
      <c r="J33" s="5">
        <f t="shared" si="5"/>
        <v>5.9494545454545458</v>
      </c>
      <c r="K33" s="5">
        <f t="shared" si="6"/>
        <v>12.259425257052467</v>
      </c>
      <c r="L33" s="1"/>
      <c r="O33" s="1"/>
    </row>
    <row r="34" spans="1:15" ht="14.25" customHeight="1" x14ac:dyDescent="0.3">
      <c r="A34" s="4">
        <v>44834</v>
      </c>
      <c r="B34" s="17">
        <v>102499</v>
      </c>
      <c r="C34" s="17">
        <v>102594</v>
      </c>
      <c r="D34" s="16">
        <f t="shared" si="2"/>
        <v>95</v>
      </c>
      <c r="E34" s="1">
        <v>32.31</v>
      </c>
      <c r="F34" s="17">
        <v>5</v>
      </c>
      <c r="G34" s="1">
        <f t="shared" si="1"/>
        <v>4.75</v>
      </c>
      <c r="H34" s="1">
        <f t="shared" si="3"/>
        <v>0.56999999999999995</v>
      </c>
      <c r="I34" s="1">
        <f t="shared" si="4"/>
        <v>26.990000000000002</v>
      </c>
      <c r="J34" s="5">
        <f t="shared" si="5"/>
        <v>5.3980000000000006</v>
      </c>
      <c r="K34" s="5">
        <f t="shared" si="6"/>
        <v>14.701330857319714</v>
      </c>
      <c r="L34" s="1"/>
      <c r="M34" s="16">
        <v>102587</v>
      </c>
      <c r="N34" s="16" t="s">
        <v>19</v>
      </c>
      <c r="O34" s="1">
        <v>25</v>
      </c>
    </row>
    <row r="35" spans="1:15" ht="14.25" customHeight="1" x14ac:dyDescent="0.3">
      <c r="A35" s="4"/>
      <c r="E35" s="1"/>
      <c r="G35" s="1"/>
      <c r="H35" s="1"/>
      <c r="I35" s="1"/>
      <c r="J35" s="5"/>
      <c r="K35" s="5"/>
      <c r="L35" s="2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  <row r="100" spans="7:15" ht="14.25" customHeight="1" x14ac:dyDescent="0.3">
      <c r="G100" s="1"/>
      <c r="H100" s="1"/>
      <c r="I100" s="1"/>
      <c r="O100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3A26-7967-4B23-A5D9-D81F08AE9714}">
  <dimension ref="A1:T99"/>
  <sheetViews>
    <sheetView zoomScale="90" zoomScaleNormal="90" workbookViewId="0">
      <pane ySplit="3" topLeftCell="A4" activePane="bottomLeft" state="frozen"/>
      <selection pane="bottomLeft" activeCell="F4" sqref="F4:F34"/>
    </sheetView>
  </sheetViews>
  <sheetFormatPr baseColWidth="10" defaultColWidth="14.44140625" defaultRowHeight="15" customHeight="1" x14ac:dyDescent="0.3"/>
  <cols>
    <col min="1" max="6" width="10.6640625" style="17" customWidth="1"/>
    <col min="7" max="9" width="11.5546875" style="17" customWidth="1"/>
    <col min="10" max="10" width="10.6640625" style="17" customWidth="1"/>
    <col min="11" max="11" width="12.21875" style="17" customWidth="1"/>
    <col min="12" max="13" width="10.6640625" style="17" customWidth="1"/>
    <col min="14" max="14" width="18" style="17" customWidth="1"/>
    <col min="15" max="15" width="11.5546875" style="17" customWidth="1"/>
    <col min="16" max="20" width="10.6640625" style="17" customWidth="1"/>
    <col min="21" max="16384" width="14.44140625" style="17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1100</v>
      </c>
      <c r="E3" s="3">
        <f t="shared" si="0"/>
        <v>408.36999999999995</v>
      </c>
      <c r="F3" s="3">
        <f>SUM(F4:F34)</f>
        <v>62</v>
      </c>
      <c r="G3" s="3">
        <f t="shared" si="0"/>
        <v>55</v>
      </c>
      <c r="H3" s="3">
        <f t="shared" si="0"/>
        <v>6.6</v>
      </c>
      <c r="I3" s="3">
        <f t="shared" si="0"/>
        <v>346.77000000000004</v>
      </c>
      <c r="J3" s="3">
        <f>AVERAGE(J4:J34)</f>
        <v>5.7871722222222219</v>
      </c>
      <c r="K3" s="3">
        <f>AVERAGE(K4:K34)</f>
        <v>14.623878480076023</v>
      </c>
      <c r="M3" s="2"/>
      <c r="N3" s="2"/>
      <c r="O3" s="3">
        <f>SUM(O4:O34)</f>
        <v>102</v>
      </c>
      <c r="P3" s="7">
        <v>0.05</v>
      </c>
      <c r="Q3" s="8">
        <v>2.4</v>
      </c>
      <c r="R3" s="17">
        <v>43</v>
      </c>
      <c r="S3" s="17">
        <v>5000</v>
      </c>
      <c r="T3" s="17">
        <v>30</v>
      </c>
    </row>
    <row r="4" spans="1:20" ht="14.25" customHeight="1" x14ac:dyDescent="0.3">
      <c r="A4" s="4">
        <v>44835</v>
      </c>
      <c r="D4" s="17">
        <f t="shared" ref="D4:D33" si="1">C4-B4</f>
        <v>0</v>
      </c>
      <c r="E4" s="1"/>
      <c r="G4" s="1">
        <f t="shared" ref="G4:G33" si="2">D4*$P$3</f>
        <v>0</v>
      </c>
      <c r="H4" s="1">
        <f t="shared" ref="H4:H33" si="3">(D4*$T$3)/$S$3</f>
        <v>0</v>
      </c>
      <c r="I4" s="1">
        <f t="shared" ref="I4:I33" si="4">E4-G4-H4</f>
        <v>0</v>
      </c>
      <c r="J4" s="5"/>
      <c r="K4" s="5"/>
      <c r="O4" s="1"/>
    </row>
    <row r="5" spans="1:20" ht="14.25" customHeight="1" x14ac:dyDescent="0.3">
      <c r="A5" s="4">
        <v>44836</v>
      </c>
      <c r="B5" s="17">
        <v>102698</v>
      </c>
      <c r="C5" s="17">
        <v>102745</v>
      </c>
      <c r="D5" s="17">
        <f t="shared" si="1"/>
        <v>47</v>
      </c>
      <c r="E5" s="1">
        <v>11.7</v>
      </c>
      <c r="F5" s="17">
        <v>2</v>
      </c>
      <c r="G5" s="1">
        <f t="shared" si="2"/>
        <v>2.35</v>
      </c>
      <c r="H5" s="1">
        <f t="shared" si="3"/>
        <v>0.28199999999999997</v>
      </c>
      <c r="I5" s="1">
        <f t="shared" si="4"/>
        <v>9.0679999999999996</v>
      </c>
      <c r="J5" s="5">
        <f t="shared" ref="J5:J16" si="5">I5/F5</f>
        <v>4.5339999999999998</v>
      </c>
      <c r="K5" s="5">
        <f t="shared" ref="K5:K16" si="6">(G5*100)/E5</f>
        <v>20.085470085470085</v>
      </c>
      <c r="O5" s="1"/>
    </row>
    <row r="6" spans="1:20" ht="14.25" customHeight="1" x14ac:dyDescent="0.3">
      <c r="A6" s="4">
        <v>44837</v>
      </c>
      <c r="D6" s="17">
        <f t="shared" si="1"/>
        <v>0</v>
      </c>
      <c r="E6" s="1"/>
      <c r="G6" s="1">
        <f t="shared" si="2"/>
        <v>0</v>
      </c>
      <c r="H6" s="1">
        <f t="shared" si="3"/>
        <v>0</v>
      </c>
      <c r="I6" s="1">
        <f t="shared" si="4"/>
        <v>0</v>
      </c>
      <c r="J6" s="5"/>
      <c r="K6" s="5"/>
      <c r="O6" s="1"/>
    </row>
    <row r="7" spans="1:20" ht="14.25" customHeight="1" x14ac:dyDescent="0.3">
      <c r="A7" s="4">
        <v>44838</v>
      </c>
      <c r="B7" s="17">
        <v>102765</v>
      </c>
      <c r="C7" s="17">
        <v>102823</v>
      </c>
      <c r="D7" s="17">
        <f t="shared" si="1"/>
        <v>58</v>
      </c>
      <c r="E7" s="1">
        <v>21.05</v>
      </c>
      <c r="F7" s="17">
        <v>3</v>
      </c>
      <c r="G7" s="1">
        <f t="shared" si="2"/>
        <v>2.9000000000000004</v>
      </c>
      <c r="H7" s="1">
        <f t="shared" si="3"/>
        <v>0.34799999999999998</v>
      </c>
      <c r="I7" s="1">
        <f t="shared" si="4"/>
        <v>17.802</v>
      </c>
      <c r="J7" s="5">
        <f t="shared" si="5"/>
        <v>5.9340000000000002</v>
      </c>
      <c r="K7" s="5">
        <f t="shared" si="6"/>
        <v>13.776722090261284</v>
      </c>
      <c r="O7" s="1"/>
    </row>
    <row r="8" spans="1:20" ht="14.25" customHeight="1" x14ac:dyDescent="0.3">
      <c r="A8" s="4">
        <v>44839</v>
      </c>
      <c r="B8" s="17">
        <v>102823</v>
      </c>
      <c r="C8" s="17">
        <v>102882</v>
      </c>
      <c r="D8" s="17">
        <f t="shared" si="1"/>
        <v>59</v>
      </c>
      <c r="E8" s="1">
        <v>19.54</v>
      </c>
      <c r="F8" s="17">
        <v>3</v>
      </c>
      <c r="G8" s="1">
        <f t="shared" si="2"/>
        <v>2.95</v>
      </c>
      <c r="H8" s="1">
        <f t="shared" si="3"/>
        <v>0.35399999999999998</v>
      </c>
      <c r="I8" s="1">
        <f t="shared" si="4"/>
        <v>16.236000000000001</v>
      </c>
      <c r="J8" s="5">
        <f t="shared" si="5"/>
        <v>5.4119999999999999</v>
      </c>
      <c r="K8" s="5">
        <f t="shared" si="6"/>
        <v>15.097236438075743</v>
      </c>
      <c r="O8" s="1"/>
    </row>
    <row r="9" spans="1:20" ht="14.25" customHeight="1" x14ac:dyDescent="0.3">
      <c r="A9" s="4">
        <v>44840</v>
      </c>
      <c r="B9" s="17">
        <v>102882</v>
      </c>
      <c r="C9" s="17">
        <v>102981</v>
      </c>
      <c r="D9" s="17">
        <f t="shared" si="1"/>
        <v>99</v>
      </c>
      <c r="E9" s="1">
        <v>29.42</v>
      </c>
      <c r="F9" s="17">
        <v>4.5</v>
      </c>
      <c r="G9" s="1">
        <f t="shared" si="2"/>
        <v>4.95</v>
      </c>
      <c r="H9" s="1">
        <f t="shared" si="3"/>
        <v>0.59399999999999997</v>
      </c>
      <c r="I9" s="1">
        <f t="shared" si="4"/>
        <v>23.876000000000001</v>
      </c>
      <c r="J9" s="5">
        <f t="shared" si="5"/>
        <v>5.3057777777777781</v>
      </c>
      <c r="K9" s="5">
        <f t="shared" si="6"/>
        <v>16.82528891910265</v>
      </c>
      <c r="L9" s="1"/>
      <c r="O9" s="1"/>
    </row>
    <row r="10" spans="1:20" ht="14.25" customHeight="1" x14ac:dyDescent="0.3">
      <c r="A10" s="4">
        <v>44841</v>
      </c>
      <c r="B10" s="17">
        <v>102981</v>
      </c>
      <c r="C10" s="17">
        <v>103051</v>
      </c>
      <c r="D10" s="17">
        <f t="shared" si="1"/>
        <v>70</v>
      </c>
      <c r="E10" s="1">
        <v>32.590000000000003</v>
      </c>
      <c r="F10" s="17">
        <v>4</v>
      </c>
      <c r="G10" s="1">
        <f t="shared" si="2"/>
        <v>3.5</v>
      </c>
      <c r="H10" s="1">
        <f t="shared" si="3"/>
        <v>0.42</v>
      </c>
      <c r="I10" s="1">
        <f t="shared" si="4"/>
        <v>28.67</v>
      </c>
      <c r="J10" s="5">
        <f t="shared" si="5"/>
        <v>7.1675000000000004</v>
      </c>
      <c r="K10" s="5">
        <f t="shared" si="6"/>
        <v>10.739490641301012</v>
      </c>
      <c r="L10" s="1"/>
      <c r="O10" s="1"/>
    </row>
    <row r="11" spans="1:20" ht="14.25" customHeight="1" x14ac:dyDescent="0.3">
      <c r="A11" s="4">
        <v>44842</v>
      </c>
      <c r="D11" s="17">
        <f t="shared" si="1"/>
        <v>0</v>
      </c>
      <c r="E11" s="1"/>
      <c r="G11" s="1">
        <f t="shared" si="2"/>
        <v>0</v>
      </c>
      <c r="H11" s="1">
        <f t="shared" si="3"/>
        <v>0</v>
      </c>
      <c r="I11" s="1">
        <f t="shared" si="4"/>
        <v>0</v>
      </c>
      <c r="J11" s="5"/>
      <c r="K11" s="5"/>
      <c r="L11" s="1"/>
      <c r="O11" s="1"/>
    </row>
    <row r="12" spans="1:20" ht="14.25" customHeight="1" x14ac:dyDescent="0.3">
      <c r="A12" s="4">
        <v>44843</v>
      </c>
      <c r="D12" s="17">
        <f t="shared" si="1"/>
        <v>0</v>
      </c>
      <c r="E12" s="1"/>
      <c r="G12" s="1">
        <f t="shared" si="2"/>
        <v>0</v>
      </c>
      <c r="H12" s="1">
        <f t="shared" si="3"/>
        <v>0</v>
      </c>
      <c r="I12" s="1">
        <f t="shared" si="4"/>
        <v>0</v>
      </c>
      <c r="J12" s="5"/>
      <c r="K12" s="5"/>
      <c r="L12" s="1"/>
      <c r="O12" s="1"/>
    </row>
    <row r="13" spans="1:20" ht="14.25" customHeight="1" x14ac:dyDescent="0.3">
      <c r="A13" s="4">
        <v>44844</v>
      </c>
      <c r="D13" s="17">
        <f t="shared" si="1"/>
        <v>0</v>
      </c>
      <c r="E13" s="1"/>
      <c r="G13" s="1">
        <f t="shared" si="2"/>
        <v>0</v>
      </c>
      <c r="H13" s="1">
        <f t="shared" si="3"/>
        <v>0</v>
      </c>
      <c r="I13" s="1">
        <f t="shared" si="4"/>
        <v>0</v>
      </c>
      <c r="J13" s="5"/>
      <c r="K13" s="5"/>
      <c r="L13" s="1"/>
      <c r="O13" s="1"/>
    </row>
    <row r="14" spans="1:20" ht="14.25" customHeight="1" x14ac:dyDescent="0.3">
      <c r="A14" s="4">
        <v>44845</v>
      </c>
      <c r="B14" s="17">
        <v>103054</v>
      </c>
      <c r="C14" s="17">
        <v>103095</v>
      </c>
      <c r="D14" s="17">
        <f t="shared" si="1"/>
        <v>41</v>
      </c>
      <c r="E14" s="1">
        <v>20.59</v>
      </c>
      <c r="F14" s="17">
        <v>2.5</v>
      </c>
      <c r="G14" s="1">
        <f t="shared" si="2"/>
        <v>2.0500000000000003</v>
      </c>
      <c r="H14" s="1">
        <f t="shared" si="3"/>
        <v>0.246</v>
      </c>
      <c r="I14" s="1">
        <f t="shared" si="4"/>
        <v>18.294</v>
      </c>
      <c r="J14" s="5">
        <f t="shared" si="5"/>
        <v>7.3176000000000005</v>
      </c>
      <c r="K14" s="5">
        <f t="shared" si="6"/>
        <v>9.9562894609033528</v>
      </c>
      <c r="L14" s="1"/>
      <c r="M14" s="17">
        <v>103054</v>
      </c>
      <c r="N14" s="17" t="s">
        <v>19</v>
      </c>
      <c r="O14" s="1">
        <v>25</v>
      </c>
    </row>
    <row r="15" spans="1:20" ht="14.25" customHeight="1" x14ac:dyDescent="0.3">
      <c r="A15" s="4">
        <v>44846</v>
      </c>
      <c r="B15" s="17">
        <v>103095</v>
      </c>
      <c r="C15" s="17">
        <v>103160</v>
      </c>
      <c r="D15" s="17">
        <f t="shared" si="1"/>
        <v>65</v>
      </c>
      <c r="E15" s="1">
        <v>18.670000000000002</v>
      </c>
      <c r="F15" s="17">
        <v>3</v>
      </c>
      <c r="G15" s="1">
        <f t="shared" si="2"/>
        <v>3.25</v>
      </c>
      <c r="H15" s="1">
        <f t="shared" si="3"/>
        <v>0.39</v>
      </c>
      <c r="I15" s="1">
        <f t="shared" si="4"/>
        <v>15.030000000000001</v>
      </c>
      <c r="J15" s="5">
        <f t="shared" si="5"/>
        <v>5.0100000000000007</v>
      </c>
      <c r="K15" s="5">
        <f t="shared" si="6"/>
        <v>17.407605784681305</v>
      </c>
      <c r="L15" s="1"/>
      <c r="O15" s="1"/>
    </row>
    <row r="16" spans="1:20" ht="14.25" customHeight="1" x14ac:dyDescent="0.3">
      <c r="A16" s="4">
        <v>44847</v>
      </c>
      <c r="B16" s="17">
        <v>103160</v>
      </c>
      <c r="C16" s="17">
        <v>103229</v>
      </c>
      <c r="D16" s="17">
        <f t="shared" si="1"/>
        <v>69</v>
      </c>
      <c r="E16" s="1">
        <v>26.33</v>
      </c>
      <c r="F16" s="17">
        <v>4</v>
      </c>
      <c r="G16" s="1">
        <f t="shared" si="2"/>
        <v>3.45</v>
      </c>
      <c r="H16" s="1">
        <f t="shared" si="3"/>
        <v>0.41399999999999998</v>
      </c>
      <c r="I16" s="1">
        <f t="shared" si="4"/>
        <v>22.465999999999998</v>
      </c>
      <c r="J16" s="5">
        <f t="shared" si="5"/>
        <v>5.6164999999999994</v>
      </c>
      <c r="K16" s="5">
        <f t="shared" si="6"/>
        <v>13.102924420812762</v>
      </c>
      <c r="L16" s="1"/>
      <c r="O16" s="1"/>
    </row>
    <row r="17" spans="1:15" ht="14.25" customHeight="1" x14ac:dyDescent="0.3">
      <c r="A17" s="4">
        <v>44848</v>
      </c>
      <c r="B17" s="18">
        <v>103234</v>
      </c>
      <c r="C17" s="18">
        <v>103265</v>
      </c>
      <c r="D17" s="17">
        <f t="shared" si="1"/>
        <v>31</v>
      </c>
      <c r="E17" s="1">
        <v>14.04</v>
      </c>
      <c r="F17" s="18">
        <v>2</v>
      </c>
      <c r="G17" s="1">
        <f t="shared" si="2"/>
        <v>1.55</v>
      </c>
      <c r="H17" s="1">
        <f t="shared" si="3"/>
        <v>0.186</v>
      </c>
      <c r="I17" s="1">
        <f t="shared" si="4"/>
        <v>12.303999999999998</v>
      </c>
      <c r="J17" s="5"/>
      <c r="K17" s="5"/>
      <c r="L17" s="1"/>
      <c r="O17" s="1"/>
    </row>
    <row r="18" spans="1:15" ht="14.25" customHeight="1" x14ac:dyDescent="0.3">
      <c r="A18" s="4">
        <v>44849</v>
      </c>
      <c r="D18" s="17">
        <f t="shared" si="1"/>
        <v>0</v>
      </c>
      <c r="E18" s="1"/>
      <c r="G18" s="1">
        <f t="shared" si="2"/>
        <v>0</v>
      </c>
      <c r="H18" s="1">
        <f t="shared" si="3"/>
        <v>0</v>
      </c>
      <c r="I18" s="1">
        <f t="shared" si="4"/>
        <v>0</v>
      </c>
      <c r="J18" s="5"/>
      <c r="K18" s="5"/>
      <c r="L18" s="1"/>
      <c r="O18" s="1"/>
    </row>
    <row r="19" spans="1:15" ht="14.25" customHeight="1" x14ac:dyDescent="0.3">
      <c r="A19" s="4">
        <v>44850</v>
      </c>
      <c r="D19" s="17">
        <f t="shared" si="1"/>
        <v>0</v>
      </c>
      <c r="E19" s="1"/>
      <c r="G19" s="1">
        <f t="shared" si="2"/>
        <v>0</v>
      </c>
      <c r="H19" s="1">
        <f t="shared" si="3"/>
        <v>0</v>
      </c>
      <c r="I19" s="1">
        <f t="shared" si="4"/>
        <v>0</v>
      </c>
      <c r="J19" s="5"/>
      <c r="K19" s="5"/>
      <c r="L19" s="1"/>
      <c r="O19" s="1"/>
    </row>
    <row r="20" spans="1:15" ht="14.25" customHeight="1" x14ac:dyDescent="0.3">
      <c r="A20" s="4">
        <v>44851</v>
      </c>
      <c r="D20" s="17">
        <f t="shared" si="1"/>
        <v>0</v>
      </c>
      <c r="E20" s="1"/>
      <c r="G20" s="1">
        <f t="shared" si="2"/>
        <v>0</v>
      </c>
      <c r="H20" s="1">
        <f t="shared" si="3"/>
        <v>0</v>
      </c>
      <c r="I20" s="1">
        <f t="shared" si="4"/>
        <v>0</v>
      </c>
      <c r="J20" s="5"/>
      <c r="K20" s="5"/>
      <c r="L20" s="1"/>
      <c r="O20" s="8"/>
    </row>
    <row r="21" spans="1:15" ht="14.25" customHeight="1" x14ac:dyDescent="0.3">
      <c r="A21" s="4">
        <v>44852</v>
      </c>
      <c r="B21" s="17">
        <v>103581</v>
      </c>
      <c r="C21" s="17">
        <v>103622</v>
      </c>
      <c r="D21" s="17">
        <f t="shared" si="1"/>
        <v>41</v>
      </c>
      <c r="E21" s="1">
        <v>16.32</v>
      </c>
      <c r="F21" s="18">
        <v>2.5</v>
      </c>
      <c r="G21" s="1">
        <f t="shared" si="2"/>
        <v>2.0500000000000003</v>
      </c>
      <c r="H21" s="1">
        <f t="shared" si="3"/>
        <v>0.246</v>
      </c>
      <c r="I21" s="1">
        <f t="shared" si="4"/>
        <v>14.023999999999999</v>
      </c>
      <c r="J21" s="5"/>
      <c r="K21" s="5"/>
      <c r="L21" s="1"/>
      <c r="M21" s="17">
        <v>103581</v>
      </c>
      <c r="N21" s="17" t="s">
        <v>19</v>
      </c>
      <c r="O21" s="1">
        <v>26</v>
      </c>
    </row>
    <row r="22" spans="1:15" ht="14.25" customHeight="1" x14ac:dyDescent="0.3">
      <c r="A22" s="4">
        <v>44853</v>
      </c>
      <c r="B22" s="17">
        <v>103622</v>
      </c>
      <c r="C22" s="17">
        <v>103680</v>
      </c>
      <c r="D22" s="17">
        <f t="shared" si="1"/>
        <v>58</v>
      </c>
      <c r="E22" s="1">
        <v>21.07</v>
      </c>
      <c r="F22" s="18">
        <v>5</v>
      </c>
      <c r="G22" s="1">
        <f t="shared" si="2"/>
        <v>2.9000000000000004</v>
      </c>
      <c r="H22" s="1">
        <f t="shared" si="3"/>
        <v>0.34799999999999998</v>
      </c>
      <c r="I22" s="1">
        <f t="shared" si="4"/>
        <v>17.822000000000003</v>
      </c>
      <c r="J22" s="5"/>
      <c r="K22" s="5"/>
      <c r="L22" s="1"/>
      <c r="O22" s="1"/>
    </row>
    <row r="23" spans="1:15" ht="14.25" customHeight="1" x14ac:dyDescent="0.3">
      <c r="A23" s="4">
        <v>44854</v>
      </c>
      <c r="B23" s="17">
        <v>103685</v>
      </c>
      <c r="C23" s="17">
        <v>103781</v>
      </c>
      <c r="D23" s="17">
        <f t="shared" si="1"/>
        <v>96</v>
      </c>
      <c r="E23" s="1">
        <v>48.95</v>
      </c>
      <c r="F23" s="18">
        <v>5.5</v>
      </c>
      <c r="G23" s="1">
        <f t="shared" si="2"/>
        <v>4.8000000000000007</v>
      </c>
      <c r="H23" s="1">
        <f t="shared" si="3"/>
        <v>0.57599999999999996</v>
      </c>
      <c r="I23" s="1">
        <f t="shared" si="4"/>
        <v>43.574000000000005</v>
      </c>
      <c r="J23" s="5"/>
      <c r="K23" s="5"/>
      <c r="L23" s="1"/>
      <c r="O23" s="1"/>
    </row>
    <row r="24" spans="1:15" ht="14.25" customHeight="1" x14ac:dyDescent="0.3">
      <c r="A24" s="4">
        <v>44855</v>
      </c>
      <c r="B24" s="18">
        <v>103805</v>
      </c>
      <c r="C24" s="18">
        <v>103885</v>
      </c>
      <c r="D24" s="17">
        <f t="shared" si="1"/>
        <v>80</v>
      </c>
      <c r="E24" s="1">
        <v>32.93</v>
      </c>
      <c r="F24" s="18">
        <v>5</v>
      </c>
      <c r="G24" s="1">
        <f t="shared" si="2"/>
        <v>4</v>
      </c>
      <c r="H24" s="1">
        <f t="shared" si="3"/>
        <v>0.48</v>
      </c>
      <c r="I24" s="1">
        <f t="shared" si="4"/>
        <v>28.45</v>
      </c>
      <c r="J24" s="5"/>
      <c r="K24" s="5"/>
      <c r="L24" s="1"/>
      <c r="O24" s="1"/>
    </row>
    <row r="25" spans="1:15" ht="14.25" customHeight="1" x14ac:dyDescent="0.3">
      <c r="A25" s="4">
        <v>44856</v>
      </c>
      <c r="D25" s="17">
        <f t="shared" si="1"/>
        <v>0</v>
      </c>
      <c r="E25" s="1"/>
      <c r="G25" s="1">
        <f t="shared" si="2"/>
        <v>0</v>
      </c>
      <c r="H25" s="1">
        <f t="shared" si="3"/>
        <v>0</v>
      </c>
      <c r="I25" s="1">
        <f t="shared" si="4"/>
        <v>0</v>
      </c>
      <c r="J25" s="5"/>
      <c r="K25" s="5"/>
      <c r="L25" s="1"/>
      <c r="O25" s="1"/>
    </row>
    <row r="26" spans="1:15" ht="14.25" customHeight="1" x14ac:dyDescent="0.3">
      <c r="A26" s="4">
        <v>44857</v>
      </c>
      <c r="D26" s="17">
        <f t="shared" si="1"/>
        <v>0</v>
      </c>
      <c r="E26" s="1"/>
      <c r="G26" s="1">
        <f t="shared" si="2"/>
        <v>0</v>
      </c>
      <c r="H26" s="1">
        <f t="shared" si="3"/>
        <v>0</v>
      </c>
      <c r="I26" s="1">
        <f t="shared" si="4"/>
        <v>0</v>
      </c>
      <c r="J26" s="5"/>
      <c r="K26" s="5"/>
      <c r="L26" s="1"/>
      <c r="O26" s="1"/>
    </row>
    <row r="27" spans="1:15" ht="14.25" customHeight="1" x14ac:dyDescent="0.3">
      <c r="A27" s="4">
        <v>44858</v>
      </c>
      <c r="D27" s="17">
        <f t="shared" si="1"/>
        <v>0</v>
      </c>
      <c r="E27" s="1"/>
      <c r="G27" s="1">
        <f t="shared" si="2"/>
        <v>0</v>
      </c>
      <c r="H27" s="1">
        <f t="shared" si="3"/>
        <v>0</v>
      </c>
      <c r="I27" s="1">
        <f t="shared" si="4"/>
        <v>0</v>
      </c>
      <c r="J27" s="5"/>
      <c r="K27" s="5"/>
      <c r="L27" s="1"/>
      <c r="O27" s="1"/>
    </row>
    <row r="28" spans="1:15" ht="14.25" customHeight="1" x14ac:dyDescent="0.3">
      <c r="A28" s="4">
        <v>44859</v>
      </c>
      <c r="B28" s="17">
        <v>103947</v>
      </c>
      <c r="C28" s="17">
        <v>103997</v>
      </c>
      <c r="D28" s="17">
        <f t="shared" si="1"/>
        <v>50</v>
      </c>
      <c r="E28" s="1">
        <v>10.26</v>
      </c>
      <c r="F28" s="18">
        <v>2.5</v>
      </c>
      <c r="G28" s="1">
        <f t="shared" si="2"/>
        <v>2.5</v>
      </c>
      <c r="H28" s="1">
        <f t="shared" si="3"/>
        <v>0.3</v>
      </c>
      <c r="I28" s="1">
        <f t="shared" si="4"/>
        <v>7.46</v>
      </c>
      <c r="J28" s="5"/>
      <c r="K28" s="5"/>
      <c r="L28" s="1"/>
      <c r="O28" s="1"/>
    </row>
    <row r="29" spans="1:15" ht="14.25" customHeight="1" x14ac:dyDescent="0.3">
      <c r="A29" s="4">
        <v>44860</v>
      </c>
      <c r="B29" s="17">
        <v>103997</v>
      </c>
      <c r="C29" s="17">
        <v>104068</v>
      </c>
      <c r="D29" s="17">
        <f t="shared" si="1"/>
        <v>71</v>
      </c>
      <c r="E29" s="1">
        <v>28.24</v>
      </c>
      <c r="F29" s="18">
        <v>4.5</v>
      </c>
      <c r="G29" s="1">
        <f t="shared" si="2"/>
        <v>3.5500000000000003</v>
      </c>
      <c r="H29" s="1">
        <f t="shared" si="3"/>
        <v>0.42599999999999999</v>
      </c>
      <c r="I29" s="1">
        <f t="shared" si="4"/>
        <v>24.263999999999999</v>
      </c>
      <c r="J29" s="5"/>
      <c r="K29" s="5"/>
      <c r="L29" s="1"/>
      <c r="M29" s="17">
        <v>103997</v>
      </c>
      <c r="N29" s="17" t="s">
        <v>19</v>
      </c>
      <c r="O29" s="1">
        <v>25</v>
      </c>
    </row>
    <row r="30" spans="1:15" ht="14.25" customHeight="1" x14ac:dyDescent="0.3">
      <c r="A30" s="4">
        <v>44861</v>
      </c>
      <c r="B30" s="17">
        <v>104068</v>
      </c>
      <c r="C30" s="17">
        <v>104119</v>
      </c>
      <c r="D30" s="17">
        <f t="shared" si="1"/>
        <v>51</v>
      </c>
      <c r="E30" s="1">
        <v>17.02</v>
      </c>
      <c r="F30" s="18">
        <v>3</v>
      </c>
      <c r="G30" s="1">
        <f t="shared" si="2"/>
        <v>2.5500000000000003</v>
      </c>
      <c r="H30" s="1">
        <f t="shared" si="3"/>
        <v>0.30599999999999999</v>
      </c>
      <c r="I30" s="1">
        <f t="shared" si="4"/>
        <v>14.164</v>
      </c>
      <c r="J30" s="5"/>
      <c r="K30" s="5"/>
      <c r="L30" s="1"/>
      <c r="O30" s="1"/>
    </row>
    <row r="31" spans="1:15" ht="14.25" customHeight="1" x14ac:dyDescent="0.3">
      <c r="A31" s="4">
        <v>44862</v>
      </c>
      <c r="B31" s="18">
        <v>104119</v>
      </c>
      <c r="C31" s="18">
        <v>104184</v>
      </c>
      <c r="D31" s="17">
        <f t="shared" si="1"/>
        <v>65</v>
      </c>
      <c r="E31" s="1">
        <v>24.27</v>
      </c>
      <c r="F31" s="18">
        <v>3.5</v>
      </c>
      <c r="G31" s="1">
        <f t="shared" si="2"/>
        <v>3.25</v>
      </c>
      <c r="H31" s="1">
        <f t="shared" si="3"/>
        <v>0.39</v>
      </c>
      <c r="I31" s="1">
        <f t="shared" si="4"/>
        <v>20.63</v>
      </c>
      <c r="J31" s="5"/>
      <c r="K31" s="5"/>
      <c r="L31" s="1"/>
      <c r="O31" s="1"/>
    </row>
    <row r="32" spans="1:15" ht="14.25" customHeight="1" x14ac:dyDescent="0.3">
      <c r="A32" s="4">
        <v>44863</v>
      </c>
      <c r="B32" s="18">
        <v>104208</v>
      </c>
      <c r="C32" s="18">
        <v>104257</v>
      </c>
      <c r="D32" s="17">
        <f t="shared" si="1"/>
        <v>49</v>
      </c>
      <c r="E32" s="1">
        <v>15.38</v>
      </c>
      <c r="F32" s="18">
        <v>2.5</v>
      </c>
      <c r="G32" s="1">
        <f t="shared" si="2"/>
        <v>2.4500000000000002</v>
      </c>
      <c r="H32" s="1">
        <f t="shared" si="3"/>
        <v>0.29399999999999998</v>
      </c>
      <c r="I32" s="1">
        <f t="shared" si="4"/>
        <v>12.635999999999999</v>
      </c>
      <c r="J32" s="5"/>
      <c r="K32" s="5"/>
      <c r="L32" s="1"/>
      <c r="O32" s="1"/>
    </row>
    <row r="33" spans="1:15" ht="14.25" customHeight="1" x14ac:dyDescent="0.3">
      <c r="A33" s="4">
        <v>44864</v>
      </c>
      <c r="B33" s="19"/>
      <c r="D33" s="17">
        <f t="shared" si="1"/>
        <v>0</v>
      </c>
      <c r="E33" s="1"/>
      <c r="G33" s="1">
        <f t="shared" si="2"/>
        <v>0</v>
      </c>
      <c r="H33" s="1">
        <f t="shared" si="3"/>
        <v>0</v>
      </c>
      <c r="I33" s="1">
        <f t="shared" si="4"/>
        <v>0</v>
      </c>
      <c r="J33" s="5"/>
      <c r="K33" s="5"/>
      <c r="L33" s="1"/>
      <c r="M33" s="17">
        <v>104469</v>
      </c>
      <c r="N33" s="17" t="s">
        <v>19</v>
      </c>
      <c r="O33" s="1">
        <v>26</v>
      </c>
    </row>
    <row r="34" spans="1:15" ht="14.25" customHeight="1" x14ac:dyDescent="0.3">
      <c r="A34" s="4">
        <v>44865</v>
      </c>
      <c r="E34" s="1"/>
      <c r="G34" s="1"/>
      <c r="H34" s="1"/>
      <c r="I34" s="1"/>
      <c r="J34" s="5"/>
      <c r="K34" s="5"/>
      <c r="L34" s="2"/>
      <c r="O34" s="1"/>
    </row>
    <row r="35" spans="1:15" ht="14.25" customHeight="1" x14ac:dyDescent="0.3">
      <c r="G35" s="1"/>
      <c r="H35" s="1"/>
      <c r="I35" s="1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AD4D-BB16-4D9D-800D-D1509170C2DF}">
  <dimension ref="A1:T99"/>
  <sheetViews>
    <sheetView zoomScale="90" zoomScaleNormal="90" workbookViewId="0">
      <pane ySplit="3" topLeftCell="A4" activePane="bottomLeft" state="frozen"/>
      <selection pane="bottomLeft" activeCell="P15" sqref="P15"/>
    </sheetView>
  </sheetViews>
  <sheetFormatPr baseColWidth="10" defaultColWidth="14.44140625" defaultRowHeight="15" customHeight="1" x14ac:dyDescent="0.3"/>
  <cols>
    <col min="1" max="6" width="10.6640625" style="19" customWidth="1"/>
    <col min="7" max="9" width="11.5546875" style="19" customWidth="1"/>
    <col min="10" max="10" width="10.6640625" style="19" customWidth="1"/>
    <col min="11" max="11" width="12.21875" style="19" customWidth="1"/>
    <col min="12" max="13" width="10.6640625" style="19" customWidth="1"/>
    <col min="14" max="14" width="18" style="19" customWidth="1"/>
    <col min="15" max="15" width="11.5546875" style="19" customWidth="1"/>
    <col min="16" max="20" width="10.6640625" style="19" customWidth="1"/>
    <col min="21" max="16384" width="14.44140625" style="19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1518</v>
      </c>
      <c r="E3" s="3">
        <f t="shared" si="0"/>
        <v>473.03</v>
      </c>
      <c r="F3" s="3">
        <f t="shared" si="0"/>
        <v>70</v>
      </c>
      <c r="G3" s="3">
        <f t="shared" si="0"/>
        <v>75.899999999999991</v>
      </c>
      <c r="H3" s="3">
        <f t="shared" si="0"/>
        <v>9.1079999999999988</v>
      </c>
      <c r="I3" s="3">
        <f t="shared" si="0"/>
        <v>388.02199999999988</v>
      </c>
      <c r="J3" s="3">
        <f>AVERAGE(J4:J34)</f>
        <v>5.8233699513936346</v>
      </c>
      <c r="K3" s="3">
        <f>AVERAGE(K4:K34)</f>
        <v>16.984550885128218</v>
      </c>
      <c r="M3" s="2"/>
      <c r="N3" s="2"/>
      <c r="O3" s="3">
        <f>SUM(O4:O34)</f>
        <v>140</v>
      </c>
      <c r="P3" s="7">
        <v>0.05</v>
      </c>
      <c r="Q3" s="8">
        <v>2.4</v>
      </c>
      <c r="R3" s="19">
        <v>43</v>
      </c>
      <c r="S3" s="19">
        <v>5000</v>
      </c>
      <c r="T3" s="19">
        <v>30</v>
      </c>
    </row>
    <row r="4" spans="1:20" ht="14.25" customHeight="1" x14ac:dyDescent="0.3">
      <c r="A4" s="4">
        <v>44866</v>
      </c>
      <c r="B4" s="19">
        <v>104524</v>
      </c>
      <c r="C4" s="19">
        <v>104586</v>
      </c>
      <c r="D4" s="19">
        <f t="shared" ref="D4:D33" si="1">C4-B4</f>
        <v>62</v>
      </c>
      <c r="E4" s="1">
        <v>20.03</v>
      </c>
      <c r="F4" s="19">
        <v>3.5</v>
      </c>
      <c r="G4" s="1">
        <f t="shared" ref="G4:G33" si="2">D4*$P$3</f>
        <v>3.1</v>
      </c>
      <c r="H4" s="1">
        <f t="shared" ref="H4:H33" si="3">(D4*$T$3)/$S$3</f>
        <v>0.372</v>
      </c>
      <c r="I4" s="1">
        <f t="shared" ref="I4:I33" si="4">E4-G4-H4</f>
        <v>16.558</v>
      </c>
      <c r="J4" s="5">
        <f t="shared" ref="J4:J33" si="5">I4/F4</f>
        <v>4.7308571428571424</v>
      </c>
      <c r="K4" s="5">
        <f t="shared" ref="K4:K33" si="6">(G4*100)/E4</f>
        <v>15.47678482276585</v>
      </c>
      <c r="O4" s="1"/>
    </row>
    <row r="5" spans="1:20" ht="14.25" customHeight="1" x14ac:dyDescent="0.3">
      <c r="A5" s="4">
        <v>44867</v>
      </c>
      <c r="D5" s="19">
        <f t="shared" si="1"/>
        <v>0</v>
      </c>
      <c r="E5" s="1"/>
      <c r="G5" s="1">
        <f t="shared" si="2"/>
        <v>0</v>
      </c>
      <c r="H5" s="1">
        <f t="shared" si="3"/>
        <v>0</v>
      </c>
      <c r="I5" s="1">
        <f t="shared" si="4"/>
        <v>0</v>
      </c>
      <c r="J5" s="5"/>
      <c r="K5" s="5"/>
      <c r="O5" s="1"/>
    </row>
    <row r="6" spans="1:20" ht="14.25" customHeight="1" x14ac:dyDescent="0.3">
      <c r="A6" s="4">
        <v>44868</v>
      </c>
      <c r="D6" s="19">
        <f t="shared" si="1"/>
        <v>0</v>
      </c>
      <c r="E6" s="1"/>
      <c r="G6" s="1">
        <f t="shared" si="2"/>
        <v>0</v>
      </c>
      <c r="H6" s="1">
        <f t="shared" si="3"/>
        <v>0</v>
      </c>
      <c r="I6" s="1">
        <f t="shared" si="4"/>
        <v>0</v>
      </c>
      <c r="J6" s="5"/>
      <c r="K6" s="5"/>
      <c r="O6" s="1"/>
    </row>
    <row r="7" spans="1:20" ht="14.25" customHeight="1" x14ac:dyDescent="0.3">
      <c r="A7" s="4">
        <v>44869</v>
      </c>
      <c r="D7" s="19">
        <f t="shared" si="1"/>
        <v>0</v>
      </c>
      <c r="E7" s="1"/>
      <c r="G7" s="1">
        <f t="shared" si="2"/>
        <v>0</v>
      </c>
      <c r="H7" s="1">
        <f t="shared" si="3"/>
        <v>0</v>
      </c>
      <c r="I7" s="1">
        <f t="shared" si="4"/>
        <v>0</v>
      </c>
      <c r="J7" s="5"/>
      <c r="K7" s="5"/>
      <c r="O7" s="1"/>
    </row>
    <row r="8" spans="1:20" ht="14.25" customHeight="1" x14ac:dyDescent="0.3">
      <c r="A8" s="4">
        <v>44870</v>
      </c>
      <c r="D8" s="19">
        <f t="shared" si="1"/>
        <v>0</v>
      </c>
      <c r="E8" s="1"/>
      <c r="G8" s="1">
        <f t="shared" si="2"/>
        <v>0</v>
      </c>
      <c r="H8" s="1">
        <f t="shared" si="3"/>
        <v>0</v>
      </c>
      <c r="I8" s="1">
        <f t="shared" si="4"/>
        <v>0</v>
      </c>
      <c r="J8" s="5"/>
      <c r="K8" s="5"/>
      <c r="O8" s="1"/>
    </row>
    <row r="9" spans="1:20" ht="14.25" customHeight="1" x14ac:dyDescent="0.3">
      <c r="A9" s="4">
        <v>44871</v>
      </c>
      <c r="B9" s="19">
        <v>104630</v>
      </c>
      <c r="C9" s="19">
        <v>104654</v>
      </c>
      <c r="D9" s="19">
        <f t="shared" si="1"/>
        <v>24</v>
      </c>
      <c r="E9" s="1">
        <v>8.1999999999999993</v>
      </c>
      <c r="F9" s="19">
        <v>0.5</v>
      </c>
      <c r="G9" s="1">
        <f t="shared" si="2"/>
        <v>1.2000000000000002</v>
      </c>
      <c r="H9" s="1">
        <f t="shared" si="3"/>
        <v>0.14399999999999999</v>
      </c>
      <c r="I9" s="1">
        <f t="shared" si="4"/>
        <v>6.855999999999999</v>
      </c>
      <c r="J9" s="5">
        <f t="shared" si="5"/>
        <v>13.711999999999998</v>
      </c>
      <c r="K9" s="5">
        <f t="shared" si="6"/>
        <v>14.634146341463417</v>
      </c>
      <c r="L9" s="1"/>
      <c r="O9" s="1"/>
    </row>
    <row r="10" spans="1:20" ht="14.25" customHeight="1" x14ac:dyDescent="0.3">
      <c r="A10" s="4">
        <v>44872</v>
      </c>
      <c r="D10" s="19">
        <f t="shared" si="1"/>
        <v>0</v>
      </c>
      <c r="E10" s="1"/>
      <c r="G10" s="1">
        <f t="shared" si="2"/>
        <v>0</v>
      </c>
      <c r="H10" s="1">
        <f t="shared" si="3"/>
        <v>0</v>
      </c>
      <c r="I10" s="1">
        <f t="shared" si="4"/>
        <v>0</v>
      </c>
      <c r="J10" s="5"/>
      <c r="K10" s="5"/>
      <c r="L10" s="1"/>
      <c r="O10" s="1"/>
    </row>
    <row r="11" spans="1:20" ht="14.25" customHeight="1" x14ac:dyDescent="0.3">
      <c r="A11" s="4">
        <v>44873</v>
      </c>
      <c r="B11" s="19">
        <v>104663</v>
      </c>
      <c r="C11" s="19">
        <v>104690</v>
      </c>
      <c r="D11" s="19">
        <f t="shared" si="1"/>
        <v>27</v>
      </c>
      <c r="E11" s="1">
        <v>8.1999999999999993</v>
      </c>
      <c r="F11" s="19">
        <v>1</v>
      </c>
      <c r="G11" s="1">
        <f t="shared" si="2"/>
        <v>1.35</v>
      </c>
      <c r="H11" s="1">
        <f t="shared" si="3"/>
        <v>0.16200000000000001</v>
      </c>
      <c r="I11" s="1">
        <f t="shared" si="4"/>
        <v>6.6879999999999997</v>
      </c>
      <c r="J11" s="5">
        <f t="shared" si="5"/>
        <v>6.6879999999999997</v>
      </c>
      <c r="K11" s="5">
        <f t="shared" si="6"/>
        <v>16.463414634146343</v>
      </c>
      <c r="L11" s="1"/>
      <c r="O11" s="1"/>
    </row>
    <row r="12" spans="1:20" ht="14.25" customHeight="1" x14ac:dyDescent="0.3">
      <c r="A12" s="4">
        <v>44874</v>
      </c>
      <c r="B12" s="19">
        <v>104690</v>
      </c>
      <c r="C12" s="19">
        <v>104859</v>
      </c>
      <c r="D12" s="19">
        <f t="shared" si="1"/>
        <v>169</v>
      </c>
      <c r="E12" s="1">
        <v>32.99</v>
      </c>
      <c r="F12" s="19">
        <v>6</v>
      </c>
      <c r="G12" s="1">
        <f t="shared" si="2"/>
        <v>8.4500000000000011</v>
      </c>
      <c r="H12" s="1">
        <f t="shared" si="3"/>
        <v>1.014</v>
      </c>
      <c r="I12" s="1">
        <f t="shared" si="4"/>
        <v>23.526</v>
      </c>
      <c r="J12" s="5">
        <f t="shared" si="5"/>
        <v>3.9209999999999998</v>
      </c>
      <c r="K12" s="5">
        <f t="shared" si="6"/>
        <v>25.613822370415278</v>
      </c>
      <c r="L12" s="1"/>
      <c r="O12" s="1"/>
    </row>
    <row r="13" spans="1:20" ht="14.25" customHeight="1" x14ac:dyDescent="0.3">
      <c r="A13" s="4">
        <v>44875</v>
      </c>
      <c r="B13" s="19">
        <v>104859</v>
      </c>
      <c r="C13" s="19">
        <v>104891</v>
      </c>
      <c r="D13" s="19">
        <f t="shared" si="1"/>
        <v>32</v>
      </c>
      <c r="E13" s="1">
        <v>9.41</v>
      </c>
      <c r="F13" s="19">
        <v>2.5</v>
      </c>
      <c r="G13" s="1">
        <f t="shared" si="2"/>
        <v>1.6</v>
      </c>
      <c r="H13" s="1">
        <f t="shared" si="3"/>
        <v>0.192</v>
      </c>
      <c r="I13" s="1">
        <f t="shared" si="4"/>
        <v>7.6180000000000003</v>
      </c>
      <c r="J13" s="5">
        <f t="shared" si="5"/>
        <v>3.0472000000000001</v>
      </c>
      <c r="K13" s="5">
        <f t="shared" si="6"/>
        <v>17.00318809776833</v>
      </c>
      <c r="L13" s="1"/>
      <c r="O13" s="1"/>
    </row>
    <row r="14" spans="1:20" ht="14.25" customHeight="1" x14ac:dyDescent="0.3">
      <c r="A14" s="4">
        <v>44876</v>
      </c>
      <c r="B14" s="19">
        <v>104925</v>
      </c>
      <c r="C14" s="19">
        <v>105090</v>
      </c>
      <c r="D14" s="19">
        <f t="shared" si="1"/>
        <v>165</v>
      </c>
      <c r="E14" s="1">
        <v>55.51</v>
      </c>
      <c r="F14" s="19">
        <v>8</v>
      </c>
      <c r="G14" s="1">
        <f t="shared" si="2"/>
        <v>8.25</v>
      </c>
      <c r="H14" s="1">
        <f t="shared" si="3"/>
        <v>0.99</v>
      </c>
      <c r="I14" s="1">
        <f t="shared" si="4"/>
        <v>46.269999999999996</v>
      </c>
      <c r="J14" s="5">
        <f t="shared" si="5"/>
        <v>5.7837499999999995</v>
      </c>
      <c r="K14" s="5">
        <f t="shared" si="6"/>
        <v>14.862186993334534</v>
      </c>
      <c r="L14" s="1"/>
      <c r="M14" s="19">
        <v>104925</v>
      </c>
      <c r="N14" s="19" t="s">
        <v>17</v>
      </c>
      <c r="O14" s="1">
        <v>40</v>
      </c>
    </row>
    <row r="15" spans="1:20" ht="14.25" customHeight="1" x14ac:dyDescent="0.3">
      <c r="A15" s="4">
        <v>44877</v>
      </c>
      <c r="B15" s="19">
        <v>105097</v>
      </c>
      <c r="C15" s="19">
        <v>105194</v>
      </c>
      <c r="D15" s="19">
        <f t="shared" si="1"/>
        <v>97</v>
      </c>
      <c r="E15" s="1">
        <v>24.34</v>
      </c>
      <c r="F15" s="19">
        <v>3</v>
      </c>
      <c r="G15" s="1">
        <f t="shared" si="2"/>
        <v>4.8500000000000005</v>
      </c>
      <c r="H15" s="1">
        <f t="shared" si="3"/>
        <v>0.58199999999999996</v>
      </c>
      <c r="I15" s="1">
        <f t="shared" si="4"/>
        <v>18.907999999999998</v>
      </c>
      <c r="J15" s="5">
        <f t="shared" si="5"/>
        <v>6.3026666666666662</v>
      </c>
      <c r="K15" s="5">
        <f t="shared" si="6"/>
        <v>19.926047658175843</v>
      </c>
      <c r="L15" s="1"/>
      <c r="M15" s="19">
        <v>104932</v>
      </c>
      <c r="N15" s="19" t="s">
        <v>19</v>
      </c>
      <c r="O15" s="1">
        <v>25</v>
      </c>
    </row>
    <row r="16" spans="1:20" ht="14.25" customHeight="1" x14ac:dyDescent="0.3">
      <c r="A16" s="4">
        <v>44878</v>
      </c>
      <c r="D16" s="19">
        <f t="shared" si="1"/>
        <v>0</v>
      </c>
      <c r="E16" s="1"/>
      <c r="G16" s="1">
        <f t="shared" si="2"/>
        <v>0</v>
      </c>
      <c r="H16" s="1">
        <f t="shared" si="3"/>
        <v>0</v>
      </c>
      <c r="I16" s="1">
        <f t="shared" si="4"/>
        <v>0</v>
      </c>
      <c r="J16" s="5"/>
      <c r="K16" s="5"/>
      <c r="L16" s="1"/>
      <c r="O16" s="1"/>
    </row>
    <row r="17" spans="1:15" ht="14.25" customHeight="1" x14ac:dyDescent="0.3">
      <c r="A17" s="4">
        <v>44879</v>
      </c>
      <c r="D17" s="19">
        <f t="shared" si="1"/>
        <v>0</v>
      </c>
      <c r="E17" s="1"/>
      <c r="G17" s="1">
        <f t="shared" si="2"/>
        <v>0</v>
      </c>
      <c r="H17" s="1">
        <f t="shared" si="3"/>
        <v>0</v>
      </c>
      <c r="I17" s="1">
        <f t="shared" si="4"/>
        <v>0</v>
      </c>
      <c r="J17" s="5"/>
      <c r="K17" s="5"/>
      <c r="L17" s="1"/>
      <c r="O17" s="1"/>
    </row>
    <row r="18" spans="1:15" ht="14.25" customHeight="1" x14ac:dyDescent="0.3">
      <c r="A18" s="4">
        <v>44880</v>
      </c>
      <c r="B18" s="19">
        <v>105460</v>
      </c>
      <c r="C18" s="19">
        <v>105553</v>
      </c>
      <c r="D18" s="19">
        <f t="shared" si="1"/>
        <v>93</v>
      </c>
      <c r="E18" s="1">
        <v>27.97</v>
      </c>
      <c r="F18" s="19">
        <v>4.5</v>
      </c>
      <c r="G18" s="1">
        <f t="shared" si="2"/>
        <v>4.6500000000000004</v>
      </c>
      <c r="H18" s="1">
        <f t="shared" si="3"/>
        <v>0.55800000000000005</v>
      </c>
      <c r="I18" s="1">
        <f t="shared" si="4"/>
        <v>22.762</v>
      </c>
      <c r="J18" s="5">
        <f t="shared" si="5"/>
        <v>5.0582222222222226</v>
      </c>
      <c r="K18" s="5">
        <f t="shared" si="6"/>
        <v>16.624955309259924</v>
      </c>
      <c r="L18" s="1"/>
      <c r="M18" s="19">
        <v>105459</v>
      </c>
      <c r="N18" s="19" t="s">
        <v>19</v>
      </c>
      <c r="O18" s="1">
        <v>15</v>
      </c>
    </row>
    <row r="19" spans="1:15" ht="14.25" customHeight="1" x14ac:dyDescent="0.3">
      <c r="A19" s="4">
        <v>44881</v>
      </c>
      <c r="B19" s="19">
        <v>105553</v>
      </c>
      <c r="C19" s="19">
        <v>105620</v>
      </c>
      <c r="D19" s="19">
        <f t="shared" si="1"/>
        <v>67</v>
      </c>
      <c r="E19" s="1">
        <v>29.88</v>
      </c>
      <c r="F19" s="19">
        <v>3.5</v>
      </c>
      <c r="G19" s="1">
        <f t="shared" si="2"/>
        <v>3.35</v>
      </c>
      <c r="H19" s="1">
        <f t="shared" si="3"/>
        <v>0.40200000000000002</v>
      </c>
      <c r="I19" s="1">
        <f t="shared" si="4"/>
        <v>26.127999999999997</v>
      </c>
      <c r="J19" s="5">
        <f t="shared" si="5"/>
        <v>7.4651428571428564</v>
      </c>
      <c r="K19" s="5">
        <f t="shared" si="6"/>
        <v>11.211512717536815</v>
      </c>
      <c r="L19" s="1"/>
      <c r="O19" s="1"/>
    </row>
    <row r="20" spans="1:15" ht="14.25" customHeight="1" x14ac:dyDescent="0.3">
      <c r="A20" s="4">
        <v>44882</v>
      </c>
      <c r="B20" s="19">
        <v>105620</v>
      </c>
      <c r="C20" s="19">
        <v>105712</v>
      </c>
      <c r="D20" s="19">
        <f t="shared" si="1"/>
        <v>92</v>
      </c>
      <c r="E20" s="1">
        <v>40.67</v>
      </c>
      <c r="F20" s="19">
        <v>5</v>
      </c>
      <c r="G20" s="1">
        <f t="shared" si="2"/>
        <v>4.6000000000000005</v>
      </c>
      <c r="H20" s="1">
        <f t="shared" si="3"/>
        <v>0.55200000000000005</v>
      </c>
      <c r="I20" s="1">
        <f t="shared" si="4"/>
        <v>35.518000000000001</v>
      </c>
      <c r="J20" s="5">
        <f t="shared" si="5"/>
        <v>7.1036000000000001</v>
      </c>
      <c r="K20" s="5">
        <f t="shared" si="6"/>
        <v>11.310548315711827</v>
      </c>
      <c r="L20" s="1"/>
      <c r="O20" s="8"/>
    </row>
    <row r="21" spans="1:15" ht="14.25" customHeight="1" x14ac:dyDescent="0.3">
      <c r="A21" s="4">
        <v>44883</v>
      </c>
      <c r="B21" s="19">
        <v>105712</v>
      </c>
      <c r="C21" s="19">
        <v>105837</v>
      </c>
      <c r="D21" s="19">
        <f t="shared" si="1"/>
        <v>125</v>
      </c>
      <c r="E21" s="1">
        <v>50.23</v>
      </c>
      <c r="F21" s="19">
        <v>7.5</v>
      </c>
      <c r="G21" s="1">
        <f t="shared" si="2"/>
        <v>6.25</v>
      </c>
      <c r="H21" s="1">
        <f t="shared" si="3"/>
        <v>0.75</v>
      </c>
      <c r="I21" s="1">
        <f t="shared" si="4"/>
        <v>43.23</v>
      </c>
      <c r="J21" s="5">
        <f t="shared" si="5"/>
        <v>5.7639999999999993</v>
      </c>
      <c r="K21" s="5">
        <f t="shared" si="6"/>
        <v>12.442763288871193</v>
      </c>
      <c r="L21" s="1"/>
      <c r="M21" s="19">
        <v>105765</v>
      </c>
      <c r="N21" s="19" t="s">
        <v>19</v>
      </c>
      <c r="O21" s="1">
        <v>15</v>
      </c>
    </row>
    <row r="22" spans="1:15" ht="14.25" customHeight="1" x14ac:dyDescent="0.3">
      <c r="A22" s="4">
        <v>44884</v>
      </c>
      <c r="D22" s="19">
        <f t="shared" si="1"/>
        <v>0</v>
      </c>
      <c r="E22" s="1"/>
      <c r="G22" s="1">
        <f t="shared" si="2"/>
        <v>0</v>
      </c>
      <c r="H22" s="1">
        <f t="shared" si="3"/>
        <v>0</v>
      </c>
      <c r="I22" s="1">
        <f t="shared" si="4"/>
        <v>0</v>
      </c>
      <c r="J22" s="5"/>
      <c r="K22" s="5"/>
      <c r="L22" s="1"/>
      <c r="O22" s="1"/>
    </row>
    <row r="23" spans="1:15" ht="14.25" customHeight="1" x14ac:dyDescent="0.3">
      <c r="A23" s="4">
        <v>44885</v>
      </c>
      <c r="B23" s="19">
        <v>105864</v>
      </c>
      <c r="C23" s="19">
        <v>105895</v>
      </c>
      <c r="D23" s="19">
        <f t="shared" si="1"/>
        <v>31</v>
      </c>
      <c r="E23" s="1">
        <v>10.63</v>
      </c>
      <c r="F23" s="19">
        <v>1.5</v>
      </c>
      <c r="G23" s="1">
        <f t="shared" si="2"/>
        <v>1.55</v>
      </c>
      <c r="H23" s="1">
        <f t="shared" si="3"/>
        <v>0.186</v>
      </c>
      <c r="I23" s="1">
        <f t="shared" si="4"/>
        <v>8.8940000000000001</v>
      </c>
      <c r="J23" s="5">
        <f t="shared" si="5"/>
        <v>5.9293333333333331</v>
      </c>
      <c r="K23" s="5">
        <f t="shared" si="6"/>
        <v>14.58137347130762</v>
      </c>
      <c r="L23" s="1"/>
      <c r="O23" s="1"/>
    </row>
    <row r="24" spans="1:15" ht="14.25" customHeight="1" x14ac:dyDescent="0.3">
      <c r="A24" s="4">
        <v>44886</v>
      </c>
      <c r="D24" s="19">
        <f t="shared" si="1"/>
        <v>0</v>
      </c>
      <c r="E24" s="1"/>
      <c r="G24" s="1">
        <f t="shared" si="2"/>
        <v>0</v>
      </c>
      <c r="H24" s="1">
        <f t="shared" si="3"/>
        <v>0</v>
      </c>
      <c r="I24" s="1">
        <f t="shared" si="4"/>
        <v>0</v>
      </c>
      <c r="J24" s="5"/>
      <c r="K24" s="5"/>
      <c r="L24" s="1"/>
      <c r="O24" s="1"/>
    </row>
    <row r="25" spans="1:15" ht="14.25" customHeight="1" x14ac:dyDescent="0.3">
      <c r="A25" s="4">
        <v>44887</v>
      </c>
      <c r="B25" s="19">
        <v>105895</v>
      </c>
      <c r="C25" s="19">
        <v>105971</v>
      </c>
      <c r="D25" s="19">
        <f t="shared" si="1"/>
        <v>76</v>
      </c>
      <c r="E25" s="1">
        <v>21.05</v>
      </c>
      <c r="F25" s="19">
        <v>3.5</v>
      </c>
      <c r="G25" s="1">
        <f t="shared" si="2"/>
        <v>3.8000000000000003</v>
      </c>
      <c r="H25" s="1">
        <f t="shared" si="3"/>
        <v>0.45600000000000002</v>
      </c>
      <c r="I25" s="1">
        <f t="shared" si="4"/>
        <v>16.794</v>
      </c>
      <c r="J25" s="5">
        <f t="shared" si="5"/>
        <v>4.798285714285714</v>
      </c>
      <c r="K25" s="5">
        <f t="shared" si="6"/>
        <v>18.052256532066508</v>
      </c>
      <c r="L25" s="1"/>
      <c r="O25" s="1"/>
    </row>
    <row r="26" spans="1:15" ht="14.25" customHeight="1" x14ac:dyDescent="0.3">
      <c r="A26" s="4">
        <v>44888</v>
      </c>
      <c r="B26" s="19">
        <v>105971</v>
      </c>
      <c r="C26" s="19">
        <v>106020</v>
      </c>
      <c r="D26" s="19">
        <f t="shared" si="1"/>
        <v>49</v>
      </c>
      <c r="E26" s="1">
        <v>10.75</v>
      </c>
      <c r="F26" s="19">
        <v>1.5</v>
      </c>
      <c r="G26" s="1">
        <f t="shared" si="2"/>
        <v>2.4500000000000002</v>
      </c>
      <c r="H26" s="1">
        <f t="shared" si="3"/>
        <v>0.29399999999999998</v>
      </c>
      <c r="I26" s="1">
        <f t="shared" si="4"/>
        <v>8.0060000000000002</v>
      </c>
      <c r="J26" s="5">
        <f t="shared" si="5"/>
        <v>5.3373333333333335</v>
      </c>
      <c r="K26" s="5">
        <f t="shared" si="6"/>
        <v>22.790697674418606</v>
      </c>
      <c r="L26" s="1"/>
      <c r="M26" s="19">
        <v>105995</v>
      </c>
      <c r="N26" s="19" t="s">
        <v>19</v>
      </c>
      <c r="O26" s="1">
        <v>15</v>
      </c>
    </row>
    <row r="27" spans="1:15" ht="14.25" customHeight="1" x14ac:dyDescent="0.3">
      <c r="A27" s="4">
        <v>44889</v>
      </c>
      <c r="B27" s="19">
        <v>106020</v>
      </c>
      <c r="C27" s="19">
        <v>106149</v>
      </c>
      <c r="D27" s="19">
        <f t="shared" si="1"/>
        <v>129</v>
      </c>
      <c r="E27" s="1">
        <v>35.909999999999997</v>
      </c>
      <c r="F27" s="19">
        <v>4.5</v>
      </c>
      <c r="G27" s="1">
        <f t="shared" si="2"/>
        <v>6.45</v>
      </c>
      <c r="H27" s="1">
        <f t="shared" si="3"/>
        <v>0.77400000000000002</v>
      </c>
      <c r="I27" s="1">
        <f t="shared" si="4"/>
        <v>28.685999999999996</v>
      </c>
      <c r="J27" s="5">
        <f t="shared" si="5"/>
        <v>6.3746666666666663</v>
      </c>
      <c r="K27" s="5">
        <f t="shared" si="6"/>
        <v>17.961570593149542</v>
      </c>
      <c r="L27" s="1"/>
      <c r="O27" s="1"/>
    </row>
    <row r="28" spans="1:15" ht="14.25" customHeight="1" x14ac:dyDescent="0.3">
      <c r="A28" s="4">
        <v>44890</v>
      </c>
      <c r="B28" s="19">
        <v>106149</v>
      </c>
      <c r="C28" s="19">
        <v>106265</v>
      </c>
      <c r="D28" s="19">
        <f t="shared" si="1"/>
        <v>116</v>
      </c>
      <c r="E28" s="1">
        <v>42.11</v>
      </c>
      <c r="F28" s="19">
        <v>5.5</v>
      </c>
      <c r="G28" s="1">
        <f t="shared" si="2"/>
        <v>5.8000000000000007</v>
      </c>
      <c r="H28" s="1">
        <f t="shared" si="3"/>
        <v>0.69599999999999995</v>
      </c>
      <c r="I28" s="1">
        <f t="shared" si="4"/>
        <v>35.614000000000004</v>
      </c>
      <c r="J28" s="5">
        <f t="shared" si="5"/>
        <v>6.4752727272727277</v>
      </c>
      <c r="K28" s="5">
        <f t="shared" si="6"/>
        <v>13.773450486820236</v>
      </c>
      <c r="L28" s="1"/>
      <c r="O28" s="1"/>
    </row>
    <row r="29" spans="1:15" ht="14.25" customHeight="1" x14ac:dyDescent="0.3">
      <c r="A29" s="4">
        <v>44891</v>
      </c>
      <c r="B29" s="19">
        <v>106294</v>
      </c>
      <c r="C29" s="19">
        <v>106306</v>
      </c>
      <c r="D29" s="19">
        <f t="shared" si="1"/>
        <v>12</v>
      </c>
      <c r="E29" s="1">
        <v>2.5</v>
      </c>
      <c r="F29" s="19">
        <v>0.5</v>
      </c>
      <c r="G29" s="1">
        <f t="shared" si="2"/>
        <v>0.60000000000000009</v>
      </c>
      <c r="H29" s="1">
        <f t="shared" si="3"/>
        <v>7.1999999999999995E-2</v>
      </c>
      <c r="I29" s="1">
        <f t="shared" si="4"/>
        <v>1.8279999999999998</v>
      </c>
      <c r="J29" s="5">
        <f t="shared" si="5"/>
        <v>3.6559999999999997</v>
      </c>
      <c r="K29" s="5">
        <f t="shared" si="6"/>
        <v>24.000000000000004</v>
      </c>
      <c r="L29" s="1"/>
      <c r="O29" s="1"/>
    </row>
    <row r="30" spans="1:15" ht="14.25" customHeight="1" x14ac:dyDescent="0.3">
      <c r="A30" s="4">
        <v>44892</v>
      </c>
      <c r="D30" s="19">
        <f t="shared" si="1"/>
        <v>0</v>
      </c>
      <c r="E30" s="1"/>
      <c r="G30" s="1">
        <f t="shared" si="2"/>
        <v>0</v>
      </c>
      <c r="H30" s="1">
        <f t="shared" si="3"/>
        <v>0</v>
      </c>
      <c r="I30" s="1">
        <f t="shared" si="4"/>
        <v>0</v>
      </c>
      <c r="J30" s="5"/>
      <c r="K30" s="5"/>
      <c r="L30" s="1"/>
      <c r="M30" s="19">
        <v>106312</v>
      </c>
      <c r="N30" s="19" t="s">
        <v>19</v>
      </c>
      <c r="O30" s="1">
        <v>15</v>
      </c>
    </row>
    <row r="31" spans="1:15" ht="14.25" customHeight="1" x14ac:dyDescent="0.3">
      <c r="A31" s="4">
        <v>44893</v>
      </c>
      <c r="D31" s="19">
        <f t="shared" si="1"/>
        <v>0</v>
      </c>
      <c r="E31" s="1"/>
      <c r="G31" s="1">
        <f t="shared" si="2"/>
        <v>0</v>
      </c>
      <c r="H31" s="1">
        <f t="shared" si="3"/>
        <v>0</v>
      </c>
      <c r="I31" s="1">
        <f t="shared" si="4"/>
        <v>0</v>
      </c>
      <c r="J31" s="5"/>
      <c r="K31" s="5"/>
      <c r="L31" s="1"/>
      <c r="O31" s="1"/>
    </row>
    <row r="32" spans="1:15" ht="14.25" customHeight="1" x14ac:dyDescent="0.3">
      <c r="A32" s="4">
        <v>44894</v>
      </c>
      <c r="B32" s="20">
        <v>106570</v>
      </c>
      <c r="C32" s="20">
        <v>106652</v>
      </c>
      <c r="D32" s="19">
        <f t="shared" si="1"/>
        <v>82</v>
      </c>
      <c r="E32" s="1">
        <v>24.39</v>
      </c>
      <c r="F32" s="20">
        <v>4.5</v>
      </c>
      <c r="G32" s="1">
        <f t="shared" si="2"/>
        <v>4.1000000000000005</v>
      </c>
      <c r="H32" s="1">
        <f t="shared" si="3"/>
        <v>0.49199999999999999</v>
      </c>
      <c r="I32" s="1">
        <f t="shared" si="4"/>
        <v>19.797999999999998</v>
      </c>
      <c r="J32" s="5">
        <f t="shared" si="5"/>
        <v>4.3995555555555548</v>
      </c>
      <c r="K32" s="5">
        <f t="shared" si="6"/>
        <v>16.810168101681018</v>
      </c>
      <c r="L32" s="1"/>
      <c r="M32" s="19">
        <v>106652</v>
      </c>
      <c r="N32" s="19" t="s">
        <v>19</v>
      </c>
      <c r="O32" s="1">
        <v>15</v>
      </c>
    </row>
    <row r="33" spans="1:15" ht="14.25" customHeight="1" x14ac:dyDescent="0.3">
      <c r="A33" s="4">
        <v>44895</v>
      </c>
      <c r="B33" s="20">
        <v>106654</v>
      </c>
      <c r="C33" s="20">
        <v>106724</v>
      </c>
      <c r="D33" s="19">
        <f t="shared" si="1"/>
        <v>70</v>
      </c>
      <c r="E33" s="1">
        <v>18.260000000000002</v>
      </c>
      <c r="F33" s="20">
        <v>3.5</v>
      </c>
      <c r="G33" s="1">
        <f t="shared" si="2"/>
        <v>3.5</v>
      </c>
      <c r="H33" s="1">
        <f t="shared" si="3"/>
        <v>0.42</v>
      </c>
      <c r="I33" s="1">
        <f t="shared" si="4"/>
        <v>14.340000000000002</v>
      </c>
      <c r="J33" s="5">
        <f t="shared" si="5"/>
        <v>4.0971428571428579</v>
      </c>
      <c r="K33" s="5">
        <f t="shared" si="6"/>
        <v>19.167579408543261</v>
      </c>
      <c r="L33" s="1"/>
      <c r="O33" s="1"/>
    </row>
    <row r="34" spans="1:15" ht="14.25" customHeight="1" x14ac:dyDescent="0.3">
      <c r="A34" s="4"/>
      <c r="E34" s="1"/>
      <c r="G34" s="1"/>
      <c r="H34" s="1"/>
      <c r="I34" s="1"/>
      <c r="J34" s="5"/>
      <c r="K34" s="5"/>
      <c r="L34" s="2"/>
      <c r="O34" s="1"/>
    </row>
    <row r="35" spans="1:15" ht="14.25" customHeight="1" x14ac:dyDescent="0.3">
      <c r="G35" s="1"/>
      <c r="H35" s="1"/>
      <c r="I35" s="1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</sheetData>
  <mergeCells count="1">
    <mergeCell ref="M1:O1"/>
  </mergeCell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2402-537E-4D5C-AE81-1C1F1F980FE2}">
  <dimension ref="A1:T99"/>
  <sheetViews>
    <sheetView tabSelected="1" zoomScale="90" zoomScaleNormal="90" workbookViewId="0">
      <pane ySplit="3" topLeftCell="A4" activePane="bottomLeft" state="frozen"/>
      <selection pane="bottomLeft" activeCell="C23" sqref="C23"/>
    </sheetView>
  </sheetViews>
  <sheetFormatPr baseColWidth="10" defaultColWidth="14.44140625" defaultRowHeight="15" customHeight="1" x14ac:dyDescent="0.3"/>
  <cols>
    <col min="1" max="6" width="10.6640625" style="20" customWidth="1"/>
    <col min="7" max="9" width="11.5546875" style="20" customWidth="1"/>
    <col min="10" max="10" width="10.6640625" style="20" customWidth="1"/>
    <col min="11" max="11" width="12.21875" style="20" customWidth="1"/>
    <col min="12" max="13" width="10.6640625" style="20" customWidth="1"/>
    <col min="14" max="14" width="18" style="20" customWidth="1"/>
    <col min="15" max="15" width="11.5546875" style="20" customWidth="1"/>
    <col min="16" max="20" width="10.6640625" style="20" customWidth="1"/>
    <col min="21" max="16384" width="14.44140625" style="20"/>
  </cols>
  <sheetData>
    <row r="1" spans="1:20" ht="14.25" customHeight="1" x14ac:dyDescent="0.3">
      <c r="G1" s="1"/>
      <c r="H1" s="1"/>
      <c r="I1" s="1"/>
      <c r="M1" s="21" t="s">
        <v>0</v>
      </c>
      <c r="N1" s="22"/>
      <c r="O1" s="22"/>
    </row>
    <row r="2" spans="1:20" ht="14.2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2" t="s">
        <v>10</v>
      </c>
      <c r="K2" s="2" t="s">
        <v>11</v>
      </c>
      <c r="M2" s="2" t="s">
        <v>12</v>
      </c>
      <c r="N2" s="2" t="s">
        <v>13</v>
      </c>
      <c r="O2" s="3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 ht="14.25" customHeight="1" x14ac:dyDescent="0.3">
      <c r="D3" s="2">
        <f t="shared" ref="D3:I3" si="0">SUM(D4:D34)</f>
        <v>780</v>
      </c>
      <c r="E3" s="3">
        <f t="shared" si="0"/>
        <v>256.83</v>
      </c>
      <c r="F3" s="3">
        <f t="shared" si="0"/>
        <v>37.5</v>
      </c>
      <c r="G3" s="3">
        <f t="shared" si="0"/>
        <v>39.000000000000007</v>
      </c>
      <c r="H3" s="3">
        <f t="shared" si="0"/>
        <v>4.68</v>
      </c>
      <c r="I3" s="3">
        <f t="shared" si="0"/>
        <v>213.14999999999998</v>
      </c>
      <c r="J3" s="3">
        <f>AVERAGE(J4:J34)</f>
        <v>5.8285687524596606</v>
      </c>
      <c r="K3" s="3">
        <f>AVERAGE(K4:K34)</f>
        <v>17.048612294846478</v>
      </c>
      <c r="M3" s="2"/>
      <c r="N3" s="2"/>
      <c r="O3" s="3">
        <f>SUM(O4:O34)</f>
        <v>55</v>
      </c>
      <c r="P3" s="7">
        <v>0.05</v>
      </c>
      <c r="Q3" s="8">
        <v>2.4</v>
      </c>
      <c r="R3" s="20">
        <v>43</v>
      </c>
      <c r="S3" s="20">
        <v>5000</v>
      </c>
      <c r="T3" s="20">
        <v>30</v>
      </c>
    </row>
    <row r="4" spans="1:20" ht="14.25" customHeight="1" x14ac:dyDescent="0.3">
      <c r="A4" s="4">
        <v>44896</v>
      </c>
      <c r="B4" s="20">
        <v>106724</v>
      </c>
      <c r="C4" s="20">
        <v>106783</v>
      </c>
      <c r="D4" s="20">
        <f t="shared" ref="D4:D33" si="1">C4-B4</f>
        <v>59</v>
      </c>
      <c r="E4" s="1">
        <v>22.72</v>
      </c>
      <c r="F4" s="20">
        <v>3</v>
      </c>
      <c r="G4" s="1">
        <f t="shared" ref="G4:G33" si="2">D4*$P$3</f>
        <v>2.95</v>
      </c>
      <c r="H4" s="1">
        <f t="shared" ref="H4:H33" si="3">(D4*$T$3)/$S$3</f>
        <v>0.35399999999999998</v>
      </c>
      <c r="I4" s="1">
        <f t="shared" ref="I4:I33" si="4">E4-G4-H4</f>
        <v>19.416</v>
      </c>
      <c r="J4" s="5">
        <f t="shared" ref="J4:J33" si="5">I4/F4</f>
        <v>6.4720000000000004</v>
      </c>
      <c r="K4" s="5">
        <f t="shared" ref="K4:K33" si="6">(G4*100)/E4</f>
        <v>12.984154929577466</v>
      </c>
      <c r="O4" s="1"/>
    </row>
    <row r="5" spans="1:20" ht="14.25" customHeight="1" x14ac:dyDescent="0.3">
      <c r="A5" s="4">
        <v>44897</v>
      </c>
      <c r="B5" s="20">
        <v>106783</v>
      </c>
      <c r="C5" s="20">
        <v>106807</v>
      </c>
      <c r="D5" s="20">
        <f t="shared" si="1"/>
        <v>24</v>
      </c>
      <c r="E5" s="1">
        <v>10.5</v>
      </c>
      <c r="F5" s="20">
        <v>1</v>
      </c>
      <c r="G5" s="1">
        <f t="shared" si="2"/>
        <v>1.2000000000000002</v>
      </c>
      <c r="H5" s="1">
        <f t="shared" si="3"/>
        <v>0.14399999999999999</v>
      </c>
      <c r="I5" s="1">
        <f t="shared" si="4"/>
        <v>9.1560000000000006</v>
      </c>
      <c r="J5" s="5">
        <f t="shared" si="5"/>
        <v>9.1560000000000006</v>
      </c>
      <c r="K5" s="5">
        <f t="shared" si="6"/>
        <v>11.428571428571431</v>
      </c>
      <c r="O5" s="1"/>
    </row>
    <row r="6" spans="1:20" ht="14.25" customHeight="1" x14ac:dyDescent="0.3">
      <c r="A6" s="4">
        <v>44898</v>
      </c>
      <c r="D6" s="20">
        <f t="shared" si="1"/>
        <v>0</v>
      </c>
      <c r="E6" s="1"/>
      <c r="G6" s="1">
        <f t="shared" si="2"/>
        <v>0</v>
      </c>
      <c r="H6" s="1">
        <f t="shared" si="3"/>
        <v>0</v>
      </c>
      <c r="I6" s="1">
        <f t="shared" si="4"/>
        <v>0</v>
      </c>
      <c r="J6" s="5"/>
      <c r="K6" s="5"/>
      <c r="O6" s="1"/>
    </row>
    <row r="7" spans="1:20" ht="14.25" customHeight="1" x14ac:dyDescent="0.3">
      <c r="A7" s="4">
        <v>44899</v>
      </c>
      <c r="D7" s="20">
        <f t="shared" si="1"/>
        <v>0</v>
      </c>
      <c r="E7" s="1"/>
      <c r="G7" s="1">
        <f t="shared" si="2"/>
        <v>0</v>
      </c>
      <c r="H7" s="1">
        <f t="shared" si="3"/>
        <v>0</v>
      </c>
      <c r="I7" s="1">
        <f t="shared" si="4"/>
        <v>0</v>
      </c>
      <c r="J7" s="5"/>
      <c r="K7" s="5"/>
      <c r="O7" s="1"/>
    </row>
    <row r="8" spans="1:20" ht="14.25" customHeight="1" x14ac:dyDescent="0.3">
      <c r="A8" s="4">
        <v>44900</v>
      </c>
      <c r="D8" s="20">
        <f t="shared" si="1"/>
        <v>0</v>
      </c>
      <c r="E8" s="1"/>
      <c r="G8" s="1">
        <f t="shared" si="2"/>
        <v>0</v>
      </c>
      <c r="H8" s="1">
        <f t="shared" si="3"/>
        <v>0</v>
      </c>
      <c r="I8" s="1">
        <f t="shared" si="4"/>
        <v>0</v>
      </c>
      <c r="J8" s="5"/>
      <c r="K8" s="5"/>
      <c r="O8" s="1"/>
    </row>
    <row r="9" spans="1:20" ht="14.25" customHeight="1" x14ac:dyDescent="0.3">
      <c r="A9" s="4">
        <v>44901</v>
      </c>
      <c r="B9" s="20">
        <v>106822</v>
      </c>
      <c r="C9" s="20">
        <v>106923</v>
      </c>
      <c r="D9" s="20">
        <f t="shared" si="1"/>
        <v>101</v>
      </c>
      <c r="E9" s="1">
        <v>29.14</v>
      </c>
      <c r="F9" s="20">
        <v>5.5</v>
      </c>
      <c r="G9" s="1">
        <f t="shared" si="2"/>
        <v>5.0500000000000007</v>
      </c>
      <c r="H9" s="1">
        <f t="shared" si="3"/>
        <v>0.60599999999999998</v>
      </c>
      <c r="I9" s="1">
        <f t="shared" si="4"/>
        <v>23.483999999999998</v>
      </c>
      <c r="J9" s="5">
        <f t="shared" si="5"/>
        <v>4.2698181818181817</v>
      </c>
      <c r="K9" s="5">
        <f t="shared" si="6"/>
        <v>17.330130404941663</v>
      </c>
      <c r="L9" s="1"/>
      <c r="M9" s="20">
        <v>106889</v>
      </c>
      <c r="N9" s="20" t="s">
        <v>19</v>
      </c>
      <c r="O9" s="1">
        <v>15</v>
      </c>
    </row>
    <row r="10" spans="1:20" ht="14.25" customHeight="1" x14ac:dyDescent="0.3">
      <c r="A10" s="4">
        <v>44902</v>
      </c>
      <c r="B10" s="20">
        <v>106923</v>
      </c>
      <c r="C10" s="20">
        <v>107018</v>
      </c>
      <c r="D10" s="20">
        <f t="shared" si="1"/>
        <v>95</v>
      </c>
      <c r="E10" s="1">
        <v>18.489999999999998</v>
      </c>
      <c r="F10" s="20">
        <v>3.5</v>
      </c>
      <c r="G10" s="1">
        <f t="shared" si="2"/>
        <v>4.75</v>
      </c>
      <c r="H10" s="1">
        <f t="shared" si="3"/>
        <v>0.56999999999999995</v>
      </c>
      <c r="I10" s="1">
        <f t="shared" si="4"/>
        <v>13.169999999999998</v>
      </c>
      <c r="J10" s="5">
        <f t="shared" si="5"/>
        <v>3.7628571428571425</v>
      </c>
      <c r="K10" s="5">
        <f t="shared" si="6"/>
        <v>25.689561925365066</v>
      </c>
      <c r="L10" s="1"/>
      <c r="O10" s="1"/>
    </row>
    <row r="11" spans="1:20" ht="14.25" customHeight="1" x14ac:dyDescent="0.3">
      <c r="A11" s="4">
        <v>44903</v>
      </c>
      <c r="B11" s="20">
        <v>107030</v>
      </c>
      <c r="C11" s="20">
        <v>107082</v>
      </c>
      <c r="D11" s="20">
        <f t="shared" si="1"/>
        <v>52</v>
      </c>
      <c r="E11" s="1">
        <v>15.35</v>
      </c>
      <c r="F11" s="20">
        <v>2.5</v>
      </c>
      <c r="G11" s="1">
        <f t="shared" si="2"/>
        <v>2.6</v>
      </c>
      <c r="H11" s="1">
        <f t="shared" si="3"/>
        <v>0.312</v>
      </c>
      <c r="I11" s="1">
        <f t="shared" si="4"/>
        <v>12.438000000000001</v>
      </c>
      <c r="J11" s="5">
        <f t="shared" si="5"/>
        <v>4.9752000000000001</v>
      </c>
      <c r="K11" s="5">
        <f t="shared" si="6"/>
        <v>16.938110749185668</v>
      </c>
      <c r="L11" s="1"/>
      <c r="O11" s="1"/>
    </row>
    <row r="12" spans="1:20" ht="14.25" customHeight="1" x14ac:dyDescent="0.3">
      <c r="A12" s="4">
        <v>44904</v>
      </c>
      <c r="B12" s="20">
        <v>107082</v>
      </c>
      <c r="C12" s="20">
        <v>107190</v>
      </c>
      <c r="D12" s="20">
        <f t="shared" si="1"/>
        <v>108</v>
      </c>
      <c r="E12" s="1">
        <v>20.059999999999999</v>
      </c>
      <c r="F12" s="20">
        <v>2</v>
      </c>
      <c r="G12" s="1">
        <f t="shared" si="2"/>
        <v>5.4</v>
      </c>
      <c r="H12" s="1">
        <f t="shared" si="3"/>
        <v>0.64800000000000002</v>
      </c>
      <c r="I12" s="1">
        <f t="shared" si="4"/>
        <v>14.011999999999999</v>
      </c>
      <c r="J12" s="5">
        <f t="shared" si="5"/>
        <v>7.0059999999999993</v>
      </c>
      <c r="K12" s="5">
        <f t="shared" si="6"/>
        <v>26.919242273180462</v>
      </c>
      <c r="L12" s="1"/>
      <c r="O12" s="1"/>
    </row>
    <row r="13" spans="1:20" ht="14.25" customHeight="1" x14ac:dyDescent="0.3">
      <c r="A13" s="4">
        <v>44905</v>
      </c>
      <c r="D13" s="20">
        <f t="shared" si="1"/>
        <v>0</v>
      </c>
      <c r="E13" s="1"/>
      <c r="G13" s="1">
        <f t="shared" si="2"/>
        <v>0</v>
      </c>
      <c r="H13" s="1">
        <f t="shared" si="3"/>
        <v>0</v>
      </c>
      <c r="I13" s="1">
        <f t="shared" si="4"/>
        <v>0</v>
      </c>
      <c r="J13" s="5"/>
      <c r="K13" s="5"/>
      <c r="L13" s="1"/>
      <c r="M13" s="20">
        <v>107116</v>
      </c>
      <c r="N13" s="20" t="s">
        <v>19</v>
      </c>
      <c r="O13" s="1">
        <v>15</v>
      </c>
    </row>
    <row r="14" spans="1:20" ht="14.25" customHeight="1" x14ac:dyDescent="0.3">
      <c r="A14" s="4">
        <v>44906</v>
      </c>
      <c r="D14" s="20">
        <f t="shared" si="1"/>
        <v>0</v>
      </c>
      <c r="E14" s="1"/>
      <c r="G14" s="1">
        <f t="shared" si="2"/>
        <v>0</v>
      </c>
      <c r="H14" s="1">
        <f t="shared" si="3"/>
        <v>0</v>
      </c>
      <c r="I14" s="1">
        <f t="shared" si="4"/>
        <v>0</v>
      </c>
      <c r="J14" s="5"/>
      <c r="K14" s="5"/>
      <c r="L14" s="1"/>
      <c r="O14" s="1"/>
    </row>
    <row r="15" spans="1:20" ht="14.25" customHeight="1" x14ac:dyDescent="0.3">
      <c r="A15" s="4">
        <v>44907</v>
      </c>
      <c r="D15" s="20">
        <f t="shared" si="1"/>
        <v>0</v>
      </c>
      <c r="E15" s="1"/>
      <c r="G15" s="1">
        <f t="shared" si="2"/>
        <v>0</v>
      </c>
      <c r="H15" s="1">
        <f t="shared" si="3"/>
        <v>0</v>
      </c>
      <c r="I15" s="1">
        <f t="shared" si="4"/>
        <v>0</v>
      </c>
      <c r="J15" s="5"/>
      <c r="K15" s="5"/>
      <c r="L15" s="1"/>
      <c r="O15" s="1"/>
    </row>
    <row r="16" spans="1:20" ht="14.25" customHeight="1" x14ac:dyDescent="0.3">
      <c r="A16" s="4">
        <v>44908</v>
      </c>
      <c r="B16" s="20">
        <v>107284</v>
      </c>
      <c r="C16" s="20">
        <v>107316</v>
      </c>
      <c r="D16" s="20">
        <f t="shared" si="1"/>
        <v>32</v>
      </c>
      <c r="E16" s="1">
        <v>22.91</v>
      </c>
      <c r="F16" s="20">
        <v>3.5</v>
      </c>
      <c r="G16" s="1">
        <f t="shared" si="2"/>
        <v>1.6</v>
      </c>
      <c r="H16" s="1">
        <f t="shared" si="3"/>
        <v>0.192</v>
      </c>
      <c r="I16" s="1">
        <f t="shared" si="4"/>
        <v>21.117999999999999</v>
      </c>
      <c r="J16" s="5">
        <f t="shared" si="5"/>
        <v>6.0337142857142849</v>
      </c>
      <c r="K16" s="5">
        <f t="shared" si="6"/>
        <v>6.9838498472282842</v>
      </c>
      <c r="L16" s="1"/>
      <c r="O16" s="1"/>
    </row>
    <row r="17" spans="1:15" ht="14.25" customHeight="1" x14ac:dyDescent="0.3">
      <c r="A17" s="4">
        <v>44909</v>
      </c>
      <c r="B17" s="20">
        <v>107316</v>
      </c>
      <c r="C17" s="20">
        <v>107375</v>
      </c>
      <c r="D17" s="20">
        <f t="shared" si="1"/>
        <v>59</v>
      </c>
      <c r="E17" s="1">
        <v>8.36</v>
      </c>
      <c r="F17" s="20">
        <v>2</v>
      </c>
      <c r="G17" s="1">
        <f t="shared" si="2"/>
        <v>2.95</v>
      </c>
      <c r="H17" s="1">
        <f t="shared" si="3"/>
        <v>0.35399999999999998</v>
      </c>
      <c r="I17" s="1">
        <f t="shared" si="4"/>
        <v>5.0559999999999992</v>
      </c>
      <c r="J17" s="5">
        <f t="shared" si="5"/>
        <v>2.5279999999999996</v>
      </c>
      <c r="K17" s="5">
        <f t="shared" si="6"/>
        <v>35.28708133971292</v>
      </c>
      <c r="L17" s="1"/>
      <c r="O17" s="1"/>
    </row>
    <row r="18" spans="1:15" ht="14.25" customHeight="1" x14ac:dyDescent="0.3">
      <c r="A18" s="4">
        <v>44910</v>
      </c>
      <c r="B18" s="20">
        <v>107387</v>
      </c>
      <c r="C18" s="20">
        <v>107495</v>
      </c>
      <c r="D18" s="20">
        <f t="shared" si="1"/>
        <v>108</v>
      </c>
      <c r="E18" s="1">
        <v>43.87</v>
      </c>
      <c r="F18" s="20">
        <v>6</v>
      </c>
      <c r="G18" s="1">
        <f t="shared" si="2"/>
        <v>5.4</v>
      </c>
      <c r="H18" s="1">
        <f t="shared" si="3"/>
        <v>0.64800000000000002</v>
      </c>
      <c r="I18" s="1">
        <f t="shared" si="4"/>
        <v>37.821999999999996</v>
      </c>
      <c r="J18" s="5">
        <f t="shared" si="5"/>
        <v>6.3036666666666656</v>
      </c>
      <c r="K18" s="5">
        <f t="shared" si="6"/>
        <v>12.30909505356736</v>
      </c>
      <c r="L18" s="1"/>
      <c r="M18" s="20">
        <v>107422</v>
      </c>
      <c r="N18" s="20" t="s">
        <v>19</v>
      </c>
      <c r="O18" s="1">
        <v>15</v>
      </c>
    </row>
    <row r="19" spans="1:15" ht="14.25" customHeight="1" x14ac:dyDescent="0.3">
      <c r="A19" s="4">
        <v>44911</v>
      </c>
      <c r="B19" s="20">
        <v>107495</v>
      </c>
      <c r="C19" s="20">
        <v>107560</v>
      </c>
      <c r="D19" s="20">
        <f t="shared" si="1"/>
        <v>65</v>
      </c>
      <c r="E19" s="1">
        <v>31.09</v>
      </c>
      <c r="F19" s="20">
        <v>4.5</v>
      </c>
      <c r="G19" s="1">
        <f t="shared" si="2"/>
        <v>3.25</v>
      </c>
      <c r="H19" s="1">
        <f t="shared" si="3"/>
        <v>0.39</v>
      </c>
      <c r="I19" s="1">
        <f t="shared" si="4"/>
        <v>27.45</v>
      </c>
      <c r="J19" s="5">
        <f t="shared" si="5"/>
        <v>6.1</v>
      </c>
      <c r="K19" s="5">
        <f t="shared" si="6"/>
        <v>10.453522032807976</v>
      </c>
      <c r="L19" s="1"/>
      <c r="O19" s="1"/>
    </row>
    <row r="20" spans="1:15" ht="14.25" customHeight="1" x14ac:dyDescent="0.3">
      <c r="A20" s="4">
        <v>44912</v>
      </c>
      <c r="B20" s="20">
        <v>107560</v>
      </c>
      <c r="C20" s="20">
        <v>107637</v>
      </c>
      <c r="D20" s="20">
        <f t="shared" si="1"/>
        <v>77</v>
      </c>
      <c r="E20" s="1">
        <v>34.340000000000003</v>
      </c>
      <c r="F20" s="20">
        <v>4</v>
      </c>
      <c r="G20" s="1">
        <f t="shared" si="2"/>
        <v>3.85</v>
      </c>
      <c r="H20" s="1">
        <f t="shared" si="3"/>
        <v>0.46200000000000002</v>
      </c>
      <c r="I20" s="1">
        <f t="shared" si="4"/>
        <v>30.028000000000002</v>
      </c>
      <c r="J20" s="5">
        <f t="shared" si="5"/>
        <v>7.5070000000000006</v>
      </c>
      <c r="K20" s="5">
        <f t="shared" si="6"/>
        <v>11.211415259172975</v>
      </c>
      <c r="L20" s="1"/>
      <c r="O20" s="8"/>
    </row>
    <row r="21" spans="1:15" ht="14.25" customHeight="1" x14ac:dyDescent="0.3">
      <c r="A21" s="4">
        <v>44913</v>
      </c>
      <c r="D21" s="20">
        <f t="shared" si="1"/>
        <v>0</v>
      </c>
      <c r="E21" s="1"/>
      <c r="G21" s="1">
        <f t="shared" si="2"/>
        <v>0</v>
      </c>
      <c r="H21" s="1">
        <f t="shared" si="3"/>
        <v>0</v>
      </c>
      <c r="I21" s="1">
        <f t="shared" si="4"/>
        <v>0</v>
      </c>
      <c r="J21" s="5"/>
      <c r="K21" s="5"/>
      <c r="L21" s="1"/>
      <c r="M21" s="20">
        <v>107643</v>
      </c>
      <c r="N21" s="20" t="s">
        <v>19</v>
      </c>
      <c r="O21" s="1">
        <v>10</v>
      </c>
    </row>
    <row r="22" spans="1:15" ht="14.25" customHeight="1" x14ac:dyDescent="0.3">
      <c r="A22" s="4">
        <v>44914</v>
      </c>
      <c r="D22" s="20">
        <f t="shared" si="1"/>
        <v>0</v>
      </c>
      <c r="E22" s="1"/>
      <c r="G22" s="1">
        <f t="shared" si="2"/>
        <v>0</v>
      </c>
      <c r="H22" s="1">
        <f t="shared" si="3"/>
        <v>0</v>
      </c>
      <c r="I22" s="1">
        <f t="shared" si="4"/>
        <v>0</v>
      </c>
      <c r="J22" s="5"/>
      <c r="K22" s="5"/>
      <c r="L22" s="1"/>
      <c r="O22" s="1"/>
    </row>
    <row r="23" spans="1:15" ht="14.25" customHeight="1" x14ac:dyDescent="0.3">
      <c r="A23" s="4">
        <v>44915</v>
      </c>
      <c r="D23" s="20">
        <f t="shared" si="1"/>
        <v>0</v>
      </c>
      <c r="E23" s="1"/>
      <c r="G23" s="1">
        <f t="shared" si="2"/>
        <v>0</v>
      </c>
      <c r="H23" s="1">
        <f t="shared" si="3"/>
        <v>0</v>
      </c>
      <c r="I23" s="1">
        <f t="shared" si="4"/>
        <v>0</v>
      </c>
      <c r="J23" s="5"/>
      <c r="K23" s="5"/>
      <c r="L23" s="1"/>
      <c r="O23" s="1"/>
    </row>
    <row r="24" spans="1:15" ht="14.25" customHeight="1" x14ac:dyDescent="0.3">
      <c r="A24" s="4">
        <v>44916</v>
      </c>
      <c r="D24" s="20">
        <f t="shared" si="1"/>
        <v>0</v>
      </c>
      <c r="E24" s="1"/>
      <c r="G24" s="1">
        <f t="shared" si="2"/>
        <v>0</v>
      </c>
      <c r="H24" s="1">
        <f t="shared" si="3"/>
        <v>0</v>
      </c>
      <c r="I24" s="1">
        <f t="shared" si="4"/>
        <v>0</v>
      </c>
      <c r="J24" s="5"/>
      <c r="K24" s="5"/>
      <c r="L24" s="1"/>
      <c r="O24" s="1"/>
    </row>
    <row r="25" spans="1:15" ht="14.25" customHeight="1" x14ac:dyDescent="0.3">
      <c r="A25" s="4">
        <v>44917</v>
      </c>
      <c r="D25" s="20">
        <f t="shared" si="1"/>
        <v>0</v>
      </c>
      <c r="E25" s="1"/>
      <c r="G25" s="1">
        <f t="shared" si="2"/>
        <v>0</v>
      </c>
      <c r="H25" s="1">
        <f t="shared" si="3"/>
        <v>0</v>
      </c>
      <c r="I25" s="1">
        <f t="shared" si="4"/>
        <v>0</v>
      </c>
      <c r="J25" s="5"/>
      <c r="K25" s="5"/>
      <c r="L25" s="1"/>
      <c r="O25" s="1"/>
    </row>
    <row r="26" spans="1:15" ht="14.25" customHeight="1" x14ac:dyDescent="0.3">
      <c r="A26" s="4">
        <v>44918</v>
      </c>
      <c r="D26" s="20">
        <f t="shared" si="1"/>
        <v>0</v>
      </c>
      <c r="E26" s="1"/>
      <c r="G26" s="1">
        <f t="shared" si="2"/>
        <v>0</v>
      </c>
      <c r="H26" s="1">
        <f t="shared" si="3"/>
        <v>0</v>
      </c>
      <c r="I26" s="1">
        <f t="shared" si="4"/>
        <v>0</v>
      </c>
      <c r="J26" s="5"/>
      <c r="K26" s="5"/>
      <c r="L26" s="1"/>
      <c r="O26" s="1"/>
    </row>
    <row r="27" spans="1:15" ht="14.25" customHeight="1" x14ac:dyDescent="0.3">
      <c r="A27" s="4">
        <v>44919</v>
      </c>
      <c r="D27" s="20">
        <f t="shared" si="1"/>
        <v>0</v>
      </c>
      <c r="E27" s="1"/>
      <c r="G27" s="1">
        <f t="shared" si="2"/>
        <v>0</v>
      </c>
      <c r="H27" s="1">
        <f t="shared" si="3"/>
        <v>0</v>
      </c>
      <c r="I27" s="1">
        <f t="shared" si="4"/>
        <v>0</v>
      </c>
      <c r="J27" s="5"/>
      <c r="K27" s="5"/>
      <c r="L27" s="1"/>
      <c r="O27" s="1"/>
    </row>
    <row r="28" spans="1:15" ht="14.25" customHeight="1" x14ac:dyDescent="0.3">
      <c r="A28" s="4">
        <v>44920</v>
      </c>
      <c r="D28" s="20">
        <f t="shared" si="1"/>
        <v>0</v>
      </c>
      <c r="E28" s="1"/>
      <c r="G28" s="1">
        <f t="shared" si="2"/>
        <v>0</v>
      </c>
      <c r="H28" s="1">
        <f t="shared" si="3"/>
        <v>0</v>
      </c>
      <c r="I28" s="1">
        <f t="shared" si="4"/>
        <v>0</v>
      </c>
      <c r="J28" s="5"/>
      <c r="K28" s="5"/>
      <c r="L28" s="1"/>
      <c r="O28" s="1"/>
    </row>
    <row r="29" spans="1:15" ht="14.25" customHeight="1" x14ac:dyDescent="0.3">
      <c r="A29" s="4">
        <v>44921</v>
      </c>
      <c r="D29" s="20">
        <f t="shared" si="1"/>
        <v>0</v>
      </c>
      <c r="E29" s="1"/>
      <c r="G29" s="1">
        <f t="shared" si="2"/>
        <v>0</v>
      </c>
      <c r="H29" s="1">
        <f t="shared" si="3"/>
        <v>0</v>
      </c>
      <c r="I29" s="1">
        <f t="shared" si="4"/>
        <v>0</v>
      </c>
      <c r="J29" s="5"/>
      <c r="K29" s="5"/>
      <c r="L29" s="1"/>
      <c r="O29" s="1"/>
    </row>
    <row r="30" spans="1:15" ht="14.25" customHeight="1" x14ac:dyDescent="0.3">
      <c r="A30" s="4">
        <v>44922</v>
      </c>
      <c r="D30" s="20">
        <f t="shared" si="1"/>
        <v>0</v>
      </c>
      <c r="E30" s="1"/>
      <c r="G30" s="1">
        <f t="shared" si="2"/>
        <v>0</v>
      </c>
      <c r="H30" s="1">
        <f t="shared" si="3"/>
        <v>0</v>
      </c>
      <c r="I30" s="1">
        <f t="shared" si="4"/>
        <v>0</v>
      </c>
      <c r="J30" s="5"/>
      <c r="K30" s="5"/>
      <c r="L30" s="1"/>
      <c r="O30" s="1"/>
    </row>
    <row r="31" spans="1:15" ht="14.25" customHeight="1" x14ac:dyDescent="0.3">
      <c r="A31" s="4">
        <v>44923</v>
      </c>
      <c r="D31" s="20">
        <f t="shared" si="1"/>
        <v>0</v>
      </c>
      <c r="E31" s="1"/>
      <c r="G31" s="1">
        <f t="shared" si="2"/>
        <v>0</v>
      </c>
      <c r="H31" s="1">
        <f t="shared" si="3"/>
        <v>0</v>
      </c>
      <c r="I31" s="1">
        <f t="shared" si="4"/>
        <v>0</v>
      </c>
      <c r="J31" s="5"/>
      <c r="K31" s="5"/>
      <c r="L31" s="1"/>
      <c r="O31" s="1"/>
    </row>
    <row r="32" spans="1:15" ht="14.25" customHeight="1" x14ac:dyDescent="0.3">
      <c r="A32" s="4">
        <v>44924</v>
      </c>
      <c r="D32" s="20">
        <f t="shared" si="1"/>
        <v>0</v>
      </c>
      <c r="E32" s="1"/>
      <c r="G32" s="1">
        <f t="shared" si="2"/>
        <v>0</v>
      </c>
      <c r="H32" s="1">
        <f t="shared" si="3"/>
        <v>0</v>
      </c>
      <c r="I32" s="1">
        <f t="shared" si="4"/>
        <v>0</v>
      </c>
      <c r="J32" s="5"/>
      <c r="K32" s="5"/>
      <c r="L32" s="1"/>
      <c r="O32" s="1"/>
    </row>
    <row r="33" spans="1:15" ht="14.25" customHeight="1" x14ac:dyDescent="0.3">
      <c r="A33" s="4">
        <v>44925</v>
      </c>
      <c r="D33" s="20">
        <f t="shared" si="1"/>
        <v>0</v>
      </c>
      <c r="E33" s="1"/>
      <c r="G33" s="1">
        <f t="shared" si="2"/>
        <v>0</v>
      </c>
      <c r="H33" s="1">
        <f t="shared" si="3"/>
        <v>0</v>
      </c>
      <c r="I33" s="1">
        <f t="shared" si="4"/>
        <v>0</v>
      </c>
      <c r="J33" s="5"/>
      <c r="K33" s="5"/>
      <c r="L33" s="1"/>
      <c r="O33" s="1"/>
    </row>
    <row r="34" spans="1:15" ht="14.25" customHeight="1" x14ac:dyDescent="0.3">
      <c r="A34" s="4">
        <v>44926</v>
      </c>
      <c r="E34" s="1"/>
      <c r="G34" s="1"/>
      <c r="H34" s="1"/>
      <c r="I34" s="1"/>
      <c r="J34" s="5"/>
      <c r="K34" s="5"/>
      <c r="L34" s="2"/>
      <c r="O34" s="1"/>
    </row>
    <row r="35" spans="1:15" ht="14.25" customHeight="1" x14ac:dyDescent="0.3">
      <c r="G35" s="1"/>
      <c r="H35" s="1"/>
      <c r="I35" s="1"/>
      <c r="O35" s="1"/>
    </row>
    <row r="36" spans="1:15" ht="14.25" customHeight="1" x14ac:dyDescent="0.3">
      <c r="G36" s="1"/>
      <c r="H36" s="1"/>
      <c r="I36" s="1"/>
      <c r="O36" s="1"/>
    </row>
    <row r="37" spans="1:15" ht="14.25" customHeight="1" x14ac:dyDescent="0.3">
      <c r="G37" s="1"/>
      <c r="H37" s="1"/>
      <c r="I37" s="1"/>
      <c r="O37" s="1"/>
    </row>
    <row r="38" spans="1:15" ht="14.25" customHeight="1" x14ac:dyDescent="0.3">
      <c r="G38" s="1"/>
      <c r="H38" s="1"/>
      <c r="I38" s="1"/>
      <c r="O38" s="1"/>
    </row>
    <row r="39" spans="1:15" ht="14.25" customHeight="1" x14ac:dyDescent="0.3">
      <c r="G39" s="1"/>
      <c r="H39" s="1"/>
      <c r="I39" s="1"/>
      <c r="O39" s="1"/>
    </row>
    <row r="40" spans="1:15" ht="14.25" customHeight="1" x14ac:dyDescent="0.3">
      <c r="G40" s="1"/>
      <c r="H40" s="1"/>
      <c r="I40" s="1"/>
      <c r="O40" s="1"/>
    </row>
    <row r="41" spans="1:15" ht="14.25" customHeight="1" x14ac:dyDescent="0.3">
      <c r="G41" s="1"/>
      <c r="H41" s="1"/>
      <c r="I41" s="1"/>
      <c r="O41" s="1"/>
    </row>
    <row r="42" spans="1:15" ht="14.25" customHeight="1" x14ac:dyDescent="0.3">
      <c r="G42" s="1"/>
      <c r="H42" s="1"/>
      <c r="I42" s="1"/>
      <c r="O42" s="1"/>
    </row>
    <row r="43" spans="1:15" ht="14.25" customHeight="1" x14ac:dyDescent="0.3">
      <c r="G43" s="1"/>
      <c r="H43" s="1"/>
      <c r="I43" s="1"/>
      <c r="O43" s="1"/>
    </row>
    <row r="44" spans="1:15" ht="14.25" customHeight="1" x14ac:dyDescent="0.3">
      <c r="G44" s="1"/>
      <c r="H44" s="1"/>
      <c r="I44" s="1"/>
      <c r="O44" s="1"/>
    </row>
    <row r="45" spans="1:15" ht="14.25" customHeight="1" x14ac:dyDescent="0.3">
      <c r="G45" s="1"/>
      <c r="H45" s="1"/>
      <c r="I45" s="1"/>
      <c r="O45" s="1"/>
    </row>
    <row r="46" spans="1:15" ht="14.25" customHeight="1" x14ac:dyDescent="0.3">
      <c r="G46" s="1"/>
      <c r="H46" s="1"/>
      <c r="I46" s="1"/>
      <c r="O46" s="1"/>
    </row>
    <row r="47" spans="1:15" ht="14.25" customHeight="1" x14ac:dyDescent="0.3">
      <c r="G47" s="1"/>
      <c r="H47" s="1"/>
      <c r="I47" s="1"/>
      <c r="O47" s="1"/>
    </row>
    <row r="48" spans="1:15" ht="14.25" customHeight="1" x14ac:dyDescent="0.3">
      <c r="G48" s="1"/>
      <c r="H48" s="1"/>
      <c r="I48" s="1"/>
      <c r="O48" s="1"/>
    </row>
    <row r="49" spans="7:15" ht="14.25" customHeight="1" x14ac:dyDescent="0.3">
      <c r="G49" s="1"/>
      <c r="H49" s="1"/>
      <c r="I49" s="1"/>
      <c r="O49" s="1"/>
    </row>
    <row r="50" spans="7:15" ht="14.25" customHeight="1" x14ac:dyDescent="0.3">
      <c r="G50" s="1"/>
      <c r="H50" s="1"/>
      <c r="I50" s="1"/>
      <c r="O50" s="1"/>
    </row>
    <row r="51" spans="7:15" ht="14.25" customHeight="1" x14ac:dyDescent="0.3">
      <c r="G51" s="1"/>
      <c r="H51" s="1"/>
      <c r="I51" s="1"/>
      <c r="O51" s="1"/>
    </row>
    <row r="52" spans="7:15" ht="14.25" customHeight="1" x14ac:dyDescent="0.3">
      <c r="G52" s="1"/>
      <c r="H52" s="1"/>
      <c r="I52" s="1"/>
      <c r="O52" s="1"/>
    </row>
    <row r="53" spans="7:15" ht="14.25" customHeight="1" x14ac:dyDescent="0.3">
      <c r="G53" s="1"/>
      <c r="H53" s="1"/>
      <c r="I53" s="1"/>
      <c r="O53" s="1"/>
    </row>
    <row r="54" spans="7:15" ht="14.25" customHeight="1" x14ac:dyDescent="0.3">
      <c r="G54" s="1"/>
      <c r="H54" s="1"/>
      <c r="I54" s="1"/>
      <c r="O54" s="1"/>
    </row>
    <row r="55" spans="7:15" ht="14.25" customHeight="1" x14ac:dyDescent="0.3">
      <c r="G55" s="1"/>
      <c r="H55" s="1"/>
      <c r="I55" s="1"/>
      <c r="O55" s="1"/>
    </row>
    <row r="56" spans="7:15" ht="14.25" customHeight="1" x14ac:dyDescent="0.3">
      <c r="G56" s="1"/>
      <c r="H56" s="1"/>
      <c r="I56" s="1"/>
      <c r="O56" s="1"/>
    </row>
    <row r="57" spans="7:15" ht="14.25" customHeight="1" x14ac:dyDescent="0.3">
      <c r="G57" s="1"/>
      <c r="H57" s="1"/>
      <c r="I57" s="1"/>
      <c r="O57" s="1"/>
    </row>
    <row r="58" spans="7:15" ht="14.25" customHeight="1" x14ac:dyDescent="0.3">
      <c r="G58" s="1"/>
      <c r="H58" s="1"/>
      <c r="I58" s="1"/>
      <c r="O58" s="1"/>
    </row>
    <row r="59" spans="7:15" ht="14.25" customHeight="1" x14ac:dyDescent="0.3">
      <c r="G59" s="1"/>
      <c r="H59" s="1"/>
      <c r="I59" s="1"/>
      <c r="O59" s="1"/>
    </row>
    <row r="60" spans="7:15" ht="14.25" customHeight="1" x14ac:dyDescent="0.3">
      <c r="G60" s="1"/>
      <c r="H60" s="1"/>
      <c r="I60" s="1"/>
      <c r="O60" s="1"/>
    </row>
    <row r="61" spans="7:15" ht="14.25" customHeight="1" x14ac:dyDescent="0.3">
      <c r="G61" s="1"/>
      <c r="H61" s="1"/>
      <c r="I61" s="1"/>
      <c r="O61" s="1"/>
    </row>
    <row r="62" spans="7:15" ht="14.25" customHeight="1" x14ac:dyDescent="0.3">
      <c r="G62" s="1"/>
      <c r="H62" s="1"/>
      <c r="I62" s="1"/>
      <c r="O62" s="1"/>
    </row>
    <row r="63" spans="7:15" ht="14.25" customHeight="1" x14ac:dyDescent="0.3">
      <c r="G63" s="1"/>
      <c r="H63" s="1"/>
      <c r="I63" s="1"/>
      <c r="O63" s="1"/>
    </row>
    <row r="64" spans="7:15" ht="14.25" customHeight="1" x14ac:dyDescent="0.3">
      <c r="G64" s="1"/>
      <c r="H64" s="1"/>
      <c r="I64" s="1"/>
      <c r="O64" s="1"/>
    </row>
    <row r="65" spans="7:15" ht="14.25" customHeight="1" x14ac:dyDescent="0.3">
      <c r="G65" s="1"/>
      <c r="H65" s="1"/>
      <c r="I65" s="1"/>
      <c r="O65" s="1"/>
    </row>
    <row r="66" spans="7:15" ht="14.25" customHeight="1" x14ac:dyDescent="0.3">
      <c r="G66" s="1"/>
      <c r="H66" s="1"/>
      <c r="I66" s="1"/>
      <c r="O66" s="1"/>
    </row>
    <row r="67" spans="7:15" ht="14.25" customHeight="1" x14ac:dyDescent="0.3">
      <c r="G67" s="1"/>
      <c r="H67" s="1"/>
      <c r="I67" s="1"/>
      <c r="O67" s="1"/>
    </row>
    <row r="68" spans="7:15" ht="14.25" customHeight="1" x14ac:dyDescent="0.3">
      <c r="G68" s="1"/>
      <c r="H68" s="1"/>
      <c r="I68" s="1"/>
      <c r="O68" s="1"/>
    </row>
    <row r="69" spans="7:15" ht="14.25" customHeight="1" x14ac:dyDescent="0.3">
      <c r="G69" s="1"/>
      <c r="H69" s="1"/>
      <c r="I69" s="1"/>
      <c r="O69" s="1"/>
    </row>
    <row r="70" spans="7:15" ht="14.25" customHeight="1" x14ac:dyDescent="0.3">
      <c r="G70" s="1"/>
      <c r="H70" s="1"/>
      <c r="I70" s="1"/>
      <c r="O70" s="1"/>
    </row>
    <row r="71" spans="7:15" ht="14.25" customHeight="1" x14ac:dyDescent="0.3">
      <c r="G71" s="1"/>
      <c r="H71" s="1"/>
      <c r="I71" s="1"/>
      <c r="O71" s="1"/>
    </row>
    <row r="72" spans="7:15" ht="14.25" customHeight="1" x14ac:dyDescent="0.3">
      <c r="G72" s="1"/>
      <c r="H72" s="1"/>
      <c r="I72" s="1"/>
      <c r="O72" s="1"/>
    </row>
    <row r="73" spans="7:15" ht="14.25" customHeight="1" x14ac:dyDescent="0.3">
      <c r="G73" s="1"/>
      <c r="H73" s="1"/>
      <c r="I73" s="1"/>
      <c r="O73" s="1"/>
    </row>
    <row r="74" spans="7:15" ht="14.25" customHeight="1" x14ac:dyDescent="0.3">
      <c r="G74" s="1"/>
      <c r="H74" s="1"/>
      <c r="I74" s="1"/>
      <c r="O74" s="1"/>
    </row>
    <row r="75" spans="7:15" ht="14.25" customHeight="1" x14ac:dyDescent="0.3">
      <c r="G75" s="1"/>
      <c r="H75" s="1"/>
      <c r="I75" s="1"/>
      <c r="O75" s="1"/>
    </row>
    <row r="76" spans="7:15" ht="14.25" customHeight="1" x14ac:dyDescent="0.3">
      <c r="G76" s="1"/>
      <c r="H76" s="1"/>
      <c r="I76" s="1"/>
      <c r="O76" s="1"/>
    </row>
    <row r="77" spans="7:15" ht="14.25" customHeight="1" x14ac:dyDescent="0.3">
      <c r="G77" s="1"/>
      <c r="H77" s="1"/>
      <c r="I77" s="1"/>
      <c r="O77" s="1"/>
    </row>
    <row r="78" spans="7:15" ht="14.25" customHeight="1" x14ac:dyDescent="0.3">
      <c r="G78" s="1"/>
      <c r="H78" s="1"/>
      <c r="I78" s="1"/>
      <c r="O78" s="1"/>
    </row>
    <row r="79" spans="7:15" ht="14.25" customHeight="1" x14ac:dyDescent="0.3">
      <c r="G79" s="1"/>
      <c r="H79" s="1"/>
      <c r="I79" s="1"/>
      <c r="O79" s="1"/>
    </row>
    <row r="80" spans="7:15" ht="14.25" customHeight="1" x14ac:dyDescent="0.3">
      <c r="G80" s="1"/>
      <c r="H80" s="1"/>
      <c r="I80" s="1"/>
      <c r="O80" s="1"/>
    </row>
    <row r="81" spans="7:15" ht="14.25" customHeight="1" x14ac:dyDescent="0.3">
      <c r="G81" s="1"/>
      <c r="H81" s="1"/>
      <c r="I81" s="1"/>
      <c r="O81" s="1"/>
    </row>
    <row r="82" spans="7:15" ht="14.25" customHeight="1" x14ac:dyDescent="0.3">
      <c r="G82" s="1"/>
      <c r="H82" s="1"/>
      <c r="I82" s="1"/>
      <c r="O82" s="1"/>
    </row>
    <row r="83" spans="7:15" ht="14.25" customHeight="1" x14ac:dyDescent="0.3">
      <c r="G83" s="1"/>
      <c r="H83" s="1"/>
      <c r="I83" s="1"/>
      <c r="O83" s="1"/>
    </row>
    <row r="84" spans="7:15" ht="14.25" customHeight="1" x14ac:dyDescent="0.3">
      <c r="G84" s="1"/>
      <c r="H84" s="1"/>
      <c r="I84" s="1"/>
      <c r="O84" s="1"/>
    </row>
    <row r="85" spans="7:15" ht="14.25" customHeight="1" x14ac:dyDescent="0.3">
      <c r="G85" s="1"/>
      <c r="H85" s="1"/>
      <c r="I85" s="1"/>
      <c r="O85" s="1"/>
    </row>
    <row r="86" spans="7:15" ht="14.25" customHeight="1" x14ac:dyDescent="0.3">
      <c r="G86" s="1"/>
      <c r="H86" s="1"/>
      <c r="I86" s="1"/>
      <c r="O86" s="1"/>
    </row>
    <row r="87" spans="7:15" ht="14.25" customHeight="1" x14ac:dyDescent="0.3">
      <c r="G87" s="1"/>
      <c r="H87" s="1"/>
      <c r="I87" s="1"/>
      <c r="O87" s="1"/>
    </row>
    <row r="88" spans="7:15" ht="14.25" customHeight="1" x14ac:dyDescent="0.3">
      <c r="G88" s="1"/>
      <c r="H88" s="1"/>
      <c r="I88" s="1"/>
      <c r="O88" s="1"/>
    </row>
    <row r="89" spans="7:15" ht="14.25" customHeight="1" x14ac:dyDescent="0.3">
      <c r="G89" s="1"/>
      <c r="H89" s="1"/>
      <c r="I89" s="1"/>
      <c r="O89" s="1"/>
    </row>
    <row r="90" spans="7:15" ht="14.25" customHeight="1" x14ac:dyDescent="0.3">
      <c r="G90" s="1"/>
      <c r="H90" s="1"/>
      <c r="I90" s="1"/>
      <c r="O90" s="1"/>
    </row>
    <row r="91" spans="7:15" ht="14.25" customHeight="1" x14ac:dyDescent="0.3">
      <c r="G91" s="1"/>
      <c r="H91" s="1"/>
      <c r="I91" s="1"/>
      <c r="O91" s="1"/>
    </row>
    <row r="92" spans="7:15" ht="14.25" customHeight="1" x14ac:dyDescent="0.3">
      <c r="G92" s="1"/>
      <c r="H92" s="1"/>
      <c r="I92" s="1"/>
      <c r="O92" s="1"/>
    </row>
    <row r="93" spans="7:15" ht="14.25" customHeight="1" x14ac:dyDescent="0.3">
      <c r="G93" s="1"/>
      <c r="H93" s="1"/>
      <c r="I93" s="1"/>
      <c r="O93" s="1"/>
    </row>
    <row r="94" spans="7:15" ht="14.25" customHeight="1" x14ac:dyDescent="0.3">
      <c r="G94" s="1"/>
      <c r="H94" s="1"/>
      <c r="I94" s="1"/>
      <c r="O94" s="1"/>
    </row>
    <row r="95" spans="7:15" ht="14.25" customHeight="1" x14ac:dyDescent="0.3">
      <c r="G95" s="1"/>
      <c r="H95" s="1"/>
      <c r="I95" s="1"/>
      <c r="O95" s="1"/>
    </row>
    <row r="96" spans="7:15" ht="14.25" customHeight="1" x14ac:dyDescent="0.3">
      <c r="G96" s="1"/>
      <c r="H96" s="1"/>
      <c r="I96" s="1"/>
      <c r="O96" s="1"/>
    </row>
    <row r="97" spans="7:15" ht="14.25" customHeight="1" x14ac:dyDescent="0.3">
      <c r="G97" s="1"/>
      <c r="H97" s="1"/>
      <c r="I97" s="1"/>
      <c r="O97" s="1"/>
    </row>
    <row r="98" spans="7:15" ht="14.25" customHeight="1" x14ac:dyDescent="0.3">
      <c r="G98" s="1"/>
      <c r="H98" s="1"/>
      <c r="I98" s="1"/>
      <c r="O98" s="1"/>
    </row>
    <row r="99" spans="7:15" ht="14.25" customHeight="1" x14ac:dyDescent="0.3">
      <c r="G99" s="1"/>
      <c r="H99" s="1"/>
      <c r="I99" s="1"/>
      <c r="O99" s="1"/>
    </row>
  </sheetData>
  <mergeCells count="1">
    <mergeCell ref="M1:O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Marzo</vt:lpstr>
      <vt:lpstr>Abril</vt:lpstr>
      <vt:lpstr>Mayo</vt:lpstr>
      <vt:lpstr>Mayo 2022</vt:lpstr>
      <vt:lpstr>Junio 2022</vt:lpstr>
      <vt:lpstr>Julio 2022</vt:lpstr>
      <vt:lpstr>Agosto 2022</vt:lpstr>
      <vt:lpstr>Septiembre 2022</vt:lpstr>
      <vt:lpstr>Octubre 2022</vt:lpstr>
      <vt:lpstr>Noviembre 2022</vt:lpstr>
      <vt:lpstr>Diciembre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2021-03-08T20:27:28Z</dcterms:created>
  <dcterms:modified xsi:type="dcterms:W3CDTF">2022-12-20T02:12:55Z</dcterms:modified>
</cp:coreProperties>
</file>